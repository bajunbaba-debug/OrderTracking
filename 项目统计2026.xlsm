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020" activeTab="1"/>
  </bookViews>
  <sheets>
    <sheet name="Sheet4" sheetId="4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Sheet1!$A$1:$Q$143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<sst xmlns="http://schemas.openxmlformats.org/spreadsheetml/2006/main" count="772" uniqueCount="272">
  <si>
    <t>王玉倩</t>
  </si>
  <si>
    <t>郁焘</t>
  </si>
  <si>
    <t>张晓颖</t>
  </si>
  <si>
    <t>李鹏飞</t>
  </si>
  <si>
    <t>沈志平</t>
  </si>
  <si>
    <t>N/A</t>
  </si>
  <si>
    <t>预计处理合计</t>
  </si>
  <si>
    <t>机组</t>
  </si>
  <si>
    <t>单向HDB</t>
  </si>
  <si>
    <t>双向HDB</t>
  </si>
  <si>
    <t>KC</t>
  </si>
  <si>
    <t>除沙机</t>
  </si>
  <si>
    <t>箱体</t>
  </si>
  <si>
    <t>单向HDB-焊</t>
  </si>
  <si>
    <t>双向HDB-焊</t>
  </si>
  <si>
    <t>KC-焊</t>
  </si>
  <si>
    <t>抗爆百叶</t>
  </si>
  <si>
    <t>波活门</t>
  </si>
  <si>
    <t>合计</t>
  </si>
  <si>
    <t>序号</t>
  </si>
  <si>
    <t>类型</t>
  </si>
  <si>
    <t>类型细化</t>
  </si>
  <si>
    <t>合同号</t>
  </si>
  <si>
    <t>项目名称</t>
  </si>
  <si>
    <t>型号</t>
  </si>
  <si>
    <t>数量</t>
  </si>
  <si>
    <t>发布日期</t>
  </si>
  <si>
    <t>分配日期</t>
  </si>
  <si>
    <t>设计完成</t>
  </si>
  <si>
    <t>交期</t>
  </si>
  <si>
    <t>负责人</t>
  </si>
  <si>
    <t>预计</t>
  </si>
  <si>
    <t>方案</t>
  </si>
  <si>
    <t>销售</t>
  </si>
  <si>
    <t>常用备注</t>
  </si>
  <si>
    <t>额外备注</t>
  </si>
  <si>
    <t>DIS-SH-NT-2026-0098</t>
  </si>
  <si>
    <t>陕西榆能精细化工材料有限公司 100万吨年高端化学品新材料项目公辅EPC总承包工程项目</t>
  </si>
  <si>
    <t>DBS-W 502</t>
  </si>
  <si>
    <t>贾兢</t>
  </si>
  <si>
    <t>DBS-W 604</t>
  </si>
  <si>
    <t>DBS-W 504</t>
  </si>
  <si>
    <t>DBS-W 304</t>
  </si>
  <si>
    <t>DIS-SH-NT-2026-0108</t>
  </si>
  <si>
    <t>齐鲁分公司树脂部制冷空调配套专用设备-机组</t>
  </si>
  <si>
    <t>PSA 202</t>
  </si>
  <si>
    <t>齐鲁分公司树脂部制冷空调配套专用设备</t>
  </si>
  <si>
    <t>*2*</t>
  </si>
  <si>
    <t>手动复位</t>
  </si>
  <si>
    <t>DIS-SP-NT-2026-0008</t>
  </si>
  <si>
    <t>QAFCO Project HDB Blast Damper</t>
  </si>
  <si>
    <t>*9*</t>
  </si>
  <si>
    <t>DIS-JS-NT-2026-0084</t>
  </si>
  <si>
    <t>阿曼IWTF-卡车清洗活性炭项目</t>
  </si>
  <si>
    <t>LGP(非标）</t>
  </si>
  <si>
    <t>WGP(非标）</t>
  </si>
  <si>
    <t>DIS-SH-NT-2026-0127</t>
  </si>
  <si>
    <t>泰兴合全药业有限公司创新药研发生产基地项目HDB</t>
  </si>
  <si>
    <t>*10*</t>
  </si>
  <si>
    <t>DIS-SP-NT-2026-0011</t>
  </si>
  <si>
    <t>ADNOC Hail and Ghasha Development Project HDB Blast Damper</t>
  </si>
  <si>
    <t>*3*</t>
  </si>
  <si>
    <t>DIS-SH-NT-2026-0105</t>
  </si>
  <si>
    <t>浙江圆锦新材料烷烃资源综合利用一体化项目抗爆阀</t>
  </si>
  <si>
    <t>*11*</t>
  </si>
  <si>
    <t>DIS-JS-NT-2026-0137</t>
  </si>
  <si>
    <t>中石化（河南）炼油化工有限公司装运部装车院安全隐患治理装车机柜间</t>
  </si>
  <si>
    <t>*1*</t>
  </si>
  <si>
    <t>DIS-SH-NT-2026-0138</t>
  </si>
  <si>
    <t>德雄实业(浙江)有限公司 年产10万吨纺织助剂项目KC</t>
  </si>
  <si>
    <t>德雄实业(浙江)有限公司 年产10万吨纺织助剂项目HDB</t>
  </si>
  <si>
    <t>DIS-JS-NT-2026-0142</t>
  </si>
  <si>
    <t>（HDB抗爆阀）东莞松山湖精密制造园</t>
  </si>
  <si>
    <t>总装需客户确认</t>
  </si>
  <si>
    <t>DIS-SH-NT-2026-0106</t>
  </si>
  <si>
    <t>(化学过滤机组）浙江圆锦新材料烷烃资源综合利用一体化项目 化学过滤机组</t>
  </si>
  <si>
    <t>PSA 604+4200</t>
  </si>
  <si>
    <t>周璐</t>
  </si>
  <si>
    <t>PSA 202+3500</t>
  </si>
  <si>
    <t>PSA 302+3900</t>
  </si>
  <si>
    <t>PSA 304+3200</t>
  </si>
  <si>
    <t>PSA 304+4300</t>
  </si>
  <si>
    <t>PSA 402+4600</t>
  </si>
  <si>
    <t>PSA 302+3200</t>
  </si>
  <si>
    <t>PSA 302+2900</t>
  </si>
  <si>
    <t>PSA 402+3300</t>
  </si>
  <si>
    <t>PSA 304+4400</t>
  </si>
  <si>
    <t>德雄实业(浙江)有限公司 年产10万吨纺织助剂项目-机组</t>
  </si>
  <si>
    <t>袁碧成</t>
  </si>
  <si>
    <t>DIS-JS-NT-2026-0126</t>
  </si>
  <si>
    <t>福建海辰化学有限公司年产40万吨已二腈及原料配套项目-机组</t>
  </si>
  <si>
    <t>DBS 404</t>
  </si>
  <si>
    <t>DIS-SH-NT-2026-0103</t>
  </si>
  <si>
    <t>中海壳牌惠州三期乙烯项目污水场总承包工程KC</t>
  </si>
  <si>
    <t>中海壳牌惠州三期乙烯项目污水场总承包工程 机组</t>
  </si>
  <si>
    <t>沈韦辉</t>
  </si>
  <si>
    <t>DBS 402</t>
  </si>
  <si>
    <t>DIS-JS-NT-2026-0148</t>
  </si>
  <si>
    <t>新奥（舟山）液化天然气有限公司浙江舟山液化天然气（LNG）接收及加注站三期LNG储罐及配套设施项目</t>
  </si>
  <si>
    <t>DIS-SP-NT-2026-0009</t>
  </si>
  <si>
    <t>ADNOC Hail and Ghasha Development Project Inertial Filter</t>
  </si>
  <si>
    <t>DICS 2-5</t>
  </si>
  <si>
    <t>朱小玮</t>
  </si>
  <si>
    <t>DICS 2-4</t>
  </si>
  <si>
    <t>*4*</t>
  </si>
  <si>
    <t>*5*</t>
  </si>
  <si>
    <t>*6*</t>
  </si>
  <si>
    <t>WGP 502</t>
  </si>
  <si>
    <t>DIS-JS-NT-2026-0153</t>
  </si>
  <si>
    <t>中国石油天然气股份有限公司大庆炼化分公司10万吨年聚丙烯酰胺项目增补机组</t>
  </si>
  <si>
    <t>DIS-JS-NT-2026-0151</t>
  </si>
  <si>
    <t>陕煤集团榆林化学有限责任公司 1500 万吨/年煤炭分质清洁高效转化示范 项目烯烃、芳烃及深加工工程一阶段项目-1#PP装置</t>
  </si>
  <si>
    <t>DIS-JS-NT-2026-0152</t>
  </si>
  <si>
    <t>陕煤集团榆林化学有限责任公司 1500 万吨/年煤炭分质清洁高效转化示范 项目烯烃、芳烃及深加工工程一阶段项目-2#PP装置</t>
  </si>
  <si>
    <t>DIS-JS-NT-2026-0132</t>
  </si>
  <si>
    <t>山西易安新能源有限公司55000Nm3h焦炉气碳减排综合利用项目</t>
  </si>
  <si>
    <t>PSA202-1</t>
  </si>
  <si>
    <t>PSA202-2</t>
  </si>
  <si>
    <t>DIS-JS-KB-2026-0170</t>
  </si>
  <si>
    <t>玖龙纸业（湖北）有限公司化工厂机柜间及控制室抗爆加固工程</t>
  </si>
  <si>
    <t>DIS-SH-NT-2026-0156</t>
  </si>
  <si>
    <t>山东九环诺宝新能源材料有限公司年产30万吨净水材料建设项目</t>
  </si>
  <si>
    <t>DIS-SH-KB-2026-0150</t>
  </si>
  <si>
    <t>河南中鸿集团煤化有限公司合成氨/烟气净化机柜间就地抗爆安全提升项目</t>
  </si>
  <si>
    <t>DIS-SH-NT-2026-0163</t>
  </si>
  <si>
    <t>中溶新能源（可克达拉）有限公司年产180万吨精细化学品及4000吨电池燃料氢多联产项目</t>
  </si>
  <si>
    <t>不锈钢本色,阀叶开孔</t>
  </si>
  <si>
    <t>DIS-JS-NT-2026-0151、0152</t>
  </si>
  <si>
    <t>陕煤集团榆林化学有限责任公司 1500 万吨/年煤炭分质清洁高效转化示范 项目烯烃、芳烃及深加工工程一阶段项目-1#/2#PP装置</t>
  </si>
  <si>
    <t>DBS605</t>
  </si>
  <si>
    <t>DIS-JS-NT-2026-0164</t>
  </si>
  <si>
    <t>福建省福化鲁华新材料有限公司碳五碳九分离及下游新材料项目</t>
  </si>
  <si>
    <t>DIS-SH-NT-2026-0157</t>
  </si>
  <si>
    <t>福建海辰化学有限公司年产40万吨已二腈及原料配套项目</t>
  </si>
  <si>
    <t>PSA 302</t>
  </si>
  <si>
    <t>福建海辰化学有限公司年产41万吨已二腈及原料配套项目</t>
  </si>
  <si>
    <t>福建海辰化学有限公司年产42万吨已二腈及原料配套项目</t>
  </si>
  <si>
    <t>DIS-JS-NT-2026-0136</t>
  </si>
  <si>
    <t>陕煤集团榆林化学有限责任公司 1500 万吨/年煤炭分质清洁高效转化示范 项目烯烃、芳烃及深加工工程一阶段项目-空分装置</t>
  </si>
  <si>
    <t>DBS606</t>
  </si>
  <si>
    <t>DIS-SH-NT-2026-0160</t>
  </si>
  <si>
    <t>赛鼎工程有限公司大唐辽宁阜新煤制天然气项目酚氨回收C系列装置及其配套公用工程</t>
  </si>
  <si>
    <t>CA 500V</t>
  </si>
  <si>
    <t>DIS-SH-NT-2026-0051</t>
  </si>
  <si>
    <t>内蒙古荣信有限责任公司80万吨烯烃项目尾气回收装置（库房用）</t>
  </si>
  <si>
    <t>WGP810</t>
  </si>
  <si>
    <t>35410-PK-1001</t>
  </si>
  <si>
    <t>内蒙古荣信有限责任公司81万吨烯烃项目尾气回收装置（库房用）</t>
  </si>
  <si>
    <t>35420-PK-2001</t>
  </si>
  <si>
    <t>内蒙古荣信有限责任公司82万吨烯烃项目尾气回收装置（库房用）</t>
  </si>
  <si>
    <t>35430-PK-3001</t>
  </si>
  <si>
    <t>DIS-SH-NT-2026-0159</t>
  </si>
  <si>
    <t>神华包头煤制烯烃项目化学水处理装置</t>
  </si>
  <si>
    <t>DIS-JS-NT-2026-0171</t>
  </si>
  <si>
    <t>宁夏东方钽业-钽铌湿法冶金数字化工厂项目</t>
  </si>
  <si>
    <t>*7*</t>
  </si>
  <si>
    <t>DIS-JS-NT-2026-0172</t>
  </si>
  <si>
    <t>DICS-U 10-12 R</t>
  </si>
  <si>
    <t>DICS-U 10-12 L</t>
  </si>
  <si>
    <t>DICS-U 8-12</t>
  </si>
  <si>
    <t>中溶新能源（可克达拉）有限公司年产180万吨精细化学品及4000吨电池燃料氢多联产项目（机组）</t>
  </si>
  <si>
    <t>DPV 1X1X5（非标）</t>
  </si>
  <si>
    <t>中溶新能源（可克达拉）有限公司年产180万吨精细化学品及4001吨电池燃料氢多联产项目（机组）</t>
  </si>
  <si>
    <t>DPV 1X2X7</t>
  </si>
  <si>
    <t>中溶新能源（可克达拉）有限公司年产180万吨精细化学品及4002吨电池燃料氢多联产项目（机组）</t>
  </si>
  <si>
    <t>DPV 1X1X8</t>
  </si>
  <si>
    <t>中溶新能源（可克达拉）有限公司年产180万吨精细化学品及4003吨电池燃料氢多联产项目（机组）</t>
  </si>
  <si>
    <t>DPV 1X1X6</t>
  </si>
  <si>
    <t>中溶新能源（可克达拉）有限公司年产180万吨精细化学品及4004吨电池燃料氢多联产项目（机组）</t>
  </si>
  <si>
    <t>DPV 1X1X7</t>
  </si>
  <si>
    <t>中溶新能源（可克达拉）有限公司年产180万吨精细化学品及4005吨电池燃料氢多联产项目（机组）</t>
  </si>
  <si>
    <t>DPV 1X2X6</t>
  </si>
  <si>
    <t>中溶新能源（可克达拉）有限公司年产180万吨精细化学品及4006吨电池燃料氢多联产项目（机组）</t>
  </si>
  <si>
    <t>DPV 1X2X5</t>
  </si>
  <si>
    <t>中溶新能源（可克达拉）有限公司年产180万吨精细化学品及4007吨电池燃料氢多联产项目（机组）</t>
  </si>
  <si>
    <t>PSA202</t>
  </si>
  <si>
    <t>中溶新能源（可克达拉）有限公司年产180万吨精细化学品及4008吨电池燃料氢多联产项目（机组）</t>
  </si>
  <si>
    <t>JGGY-SY-2026-06-01</t>
  </si>
  <si>
    <t>盐雾过滤器-测试（展览）项目</t>
  </si>
  <si>
    <t>DIS-JS-NT-2026-0166</t>
  </si>
  <si>
    <t>贵州毕节煤制氨项目</t>
  </si>
  <si>
    <t>2026.8.30</t>
  </si>
  <si>
    <t>DIS-SP-NT-2026-0007</t>
  </si>
  <si>
    <t>NFPS Onshore Buildings &amp; Infrastructure Compression Project - COMP9 Inertial Filter</t>
  </si>
  <si>
    <t>DICS 4-5</t>
  </si>
  <si>
    <t>DICS 6-8</t>
  </si>
  <si>
    <t>DIS-JS-NT-2026-0135</t>
  </si>
  <si>
    <t>中国石化长城能源化工(宁夏)有限公司6万吨/年PTMEG新材料化学品项目(2071)</t>
  </si>
  <si>
    <t>DIS-JS-NT-2026-0180</t>
  </si>
  <si>
    <t>内蒙古荣信化工有限公司年产80万吨烯烃项目40万吨／年聚丙烯装置增补（抗爆阀）</t>
  </si>
  <si>
    <t>2026.6.20</t>
  </si>
  <si>
    <t>DIS-JS-NT-2026-0154</t>
  </si>
  <si>
    <t>河南天目先导电池材料有限公司年产8000吨新一代纳米硅碳负极材料项目</t>
  </si>
  <si>
    <t>PSA 304</t>
  </si>
  <si>
    <t>PSA 502</t>
  </si>
  <si>
    <t>DIS-JS-NT-2026-0175</t>
  </si>
  <si>
    <t>四川天舟生物质能源科技有限公司20万吨年废弃动植物油脂生产生物燃料项目</t>
  </si>
  <si>
    <t>DIS-JS-NT-2026-0147</t>
  </si>
  <si>
    <t>连云港石化α-烯烃综合利用高端新材料产业园项目</t>
  </si>
  <si>
    <t>DIS-SH-NT-2026-0079</t>
  </si>
  <si>
    <t>甘肃巨化新材料有限公司高性能硅氟新材料一体化项目</t>
  </si>
  <si>
    <t>DIS-JS-NT-2026-0170</t>
  </si>
  <si>
    <t>中物院四所波活门</t>
  </si>
  <si>
    <t>DIS-JS-NT-2026-0184</t>
  </si>
  <si>
    <t>中核四0四有限公司除砂过滤器采购（除沙模块）</t>
  </si>
  <si>
    <t>DICS 16-16</t>
  </si>
  <si>
    <t>DICS 24-21</t>
  </si>
  <si>
    <t>CA1000V</t>
  </si>
  <si>
    <t>DIS-JS-NT-2026-0162</t>
  </si>
  <si>
    <t>陕煤集团榆林化学有限责任公司1500万吨/年煤炭分质清洁高效转化示范项目烯烃、芳烃及深加工工程一阶段项目-1#醋酸乙烯装置</t>
  </si>
  <si>
    <t>DIS-JS-NT-2026-0173</t>
  </si>
  <si>
    <t>江苏江安集团有限公司‌项目-KC</t>
  </si>
  <si>
    <t>DBS403</t>
  </si>
  <si>
    <t>DIS-JS-KB-2026-0039</t>
  </si>
  <si>
    <t>江苏索普化工股份有限公司二氧化碳尾气回收装置机柜间抗爆改造（抗爆阀增加）</t>
  </si>
  <si>
    <t>DIS-JS-NT-2026-0169</t>
  </si>
  <si>
    <t>24187陕西兴化异地搬迁升级改造项目</t>
  </si>
  <si>
    <t>DBS 706</t>
  </si>
  <si>
    <t>DBS 606</t>
  </si>
  <si>
    <t>DIS-JS-NT-2026-0182</t>
  </si>
  <si>
    <t>陕煤集团榆林化学有限责任公司1500万吨/年煤炭分质清洁高效转化示范项目烯烃、芳烃及深加工工程一阶段项目-甲醇合成装置</t>
  </si>
  <si>
    <t>DIS-JS-NT-2026-0183</t>
  </si>
  <si>
    <t>陕煤集团榆林化学有限责任公司1500万吨/年煤炭分质清洁高效转化示范项目烯烃、芳烃及深加工工程一阶段项目-液体储运装置</t>
  </si>
  <si>
    <t>DIS-JS-NT-2026-0129</t>
  </si>
  <si>
    <t>Ras Laffan Petrochemicals Project KC Blast Valve</t>
  </si>
  <si>
    <t>DIS-JS-NT-2026-0145</t>
  </si>
  <si>
    <t>贵州瓮安县年产33万吨硝酸盐及其配套产品30万吨精细食品磷酸盐及其配套产品项目</t>
  </si>
  <si>
    <t>DIS-JS-NT-2026-0187</t>
  </si>
  <si>
    <t>内蒙古恒坤化工有限公司年产260万吨捣固焦及综合利用项目</t>
  </si>
  <si>
    <t>DIS-JS-NT-2026-0150</t>
  </si>
  <si>
    <t>兰州寰球润滑油公司安徽宿州润滑油添加剂项目</t>
  </si>
  <si>
    <t>DPV 2X2X4</t>
  </si>
  <si>
    <t>DPV 2X2X6</t>
  </si>
  <si>
    <t>DIS-JS-NT-2026-0186</t>
  </si>
  <si>
    <t>（KC抗爆阀）内蒙古荣信化工有限公司年产80万吨烯烃项目</t>
  </si>
  <si>
    <t>(HDB抗爆阀）内蒙古荣信化工有限公司年产80万吨烯烃项目</t>
  </si>
  <si>
    <t>中核四0四有限公司除砂过滤器采购（除沙模块）-第二部分</t>
  </si>
  <si>
    <t>DICS 12-10</t>
  </si>
  <si>
    <t>DBS404</t>
  </si>
  <si>
    <t>DBS604</t>
  </si>
  <si>
    <t>DIS-JS-NT-2026-0190</t>
  </si>
  <si>
    <t>江苏LNG项目三期配套码头工程（机组）</t>
  </si>
  <si>
    <t>DBS506</t>
  </si>
  <si>
    <t>（化学过滤机组）内蒙古荣信化工有限公司年产80万吨烯烃项目</t>
  </si>
  <si>
    <t>DBS 503</t>
  </si>
  <si>
    <t>DBS 403</t>
  </si>
  <si>
    <t>备注</t>
  </si>
  <si>
    <t>雷敏敏</t>
  </si>
  <si>
    <t>吕建伟</t>
  </si>
  <si>
    <t>欧定攀</t>
  </si>
  <si>
    <t>王团林</t>
  </si>
  <si>
    <t>刘亚</t>
  </si>
  <si>
    <t>荣信化工危废库废气处理装置</t>
  </si>
  <si>
    <t>机组一样，爬梯位置等附件可能方向不同</t>
  </si>
  <si>
    <t>李，王</t>
  </si>
  <si>
    <t>4*6</t>
  </si>
  <si>
    <t>2*7</t>
  </si>
  <si>
    <t>2*4</t>
  </si>
  <si>
    <t>5*6</t>
  </si>
  <si>
    <t>8*8</t>
  </si>
  <si>
    <t>DPV 1X2X7（非标）</t>
  </si>
  <si>
    <t>1*2</t>
  </si>
  <si>
    <t>DPV 1X1X8（非标）</t>
  </si>
  <si>
    <t>1*3</t>
  </si>
  <si>
    <t>DPV 1X1X6（非标）</t>
  </si>
  <si>
    <t>2*2</t>
  </si>
  <si>
    <t>DPV 1X1X7（非标）</t>
  </si>
  <si>
    <t>6*7</t>
  </si>
  <si>
    <t>DPV 1X2X6（非标）</t>
  </si>
  <si>
    <t>5*5</t>
  </si>
  <si>
    <t>DPV 1X2X5（非标）</t>
  </si>
  <si>
    <t>2*3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</si>
</sst>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32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</font>
    <font>
      <sz val="14"/>
      <color rgb="FF1D1D1D"/>
      <name val="宋体"/>
      <charset val="134"/>
    </font>
    <font>
      <sz val="11"/>
      <color rgb="FF000000"/>
      <name val="宋体"/>
      <charset val="134"/>
    </font>
    <font>
      <sz val="20"/>
      <color theme="1"/>
      <name val="微软雅黑"/>
      <charset val="134"/>
    </font>
    <font>
      <sz val="14"/>
      <color theme="1"/>
      <name val="微软雅黑"/>
      <charset val="134"/>
    </font>
    <font>
      <sz val="14"/>
      <color rgb="FF1D1D1D"/>
      <name val="微软雅黑"/>
      <charset val="134"/>
    </font>
    <font>
      <sz val="14"/>
      <color rgb="FF000000"/>
      <name val="微软雅黑"/>
      <charset val="134"/>
    </font>
    <font>
      <b/>
      <sz val="10"/>
      <color theme="1"/>
      <name val="等线"/>
      <charset val="134"/>
    </font>
    <font>
      <b/>
      <sz val="11"/>
      <color theme="1"/>
      <name val="宋体"/>
      <charset val="134"/>
      <scheme val="minor"/>
    </font>
    <font>
      <sz val="10"/>
      <color theme="1"/>
      <name val="等线"/>
      <charset val="134"/>
    </font>
    <font>
      <sz val="10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BEFA0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FD7E14"/>
        <bgColor indexed="64"/>
      </patternFill>
    </fill>
    <fill>
      <patternFill patternType="solid">
        <fgColor rgb="FF2FFA0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6"/>
      </left>
      <right style="thin">
        <color theme="4" tint="0.6"/>
      </right>
      <top style="thin">
        <color theme="4" tint="0.6"/>
      </top>
      <bottom style="thin">
        <color theme="4" tint="0.6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3" borderId="8" applyNumberFormat="0" applyAlignment="0" applyProtection="0">
      <alignment vertical="center"/>
    </xf>
    <xf numFmtId="0" fontId="22" fillId="14" borderId="9" applyNumberFormat="0" applyAlignment="0" applyProtection="0">
      <alignment vertical="center"/>
    </xf>
    <xf numFmtId="0" fontId="23" fillId="14" borderId="8" applyNumberFormat="0" applyAlignment="0" applyProtection="0">
      <alignment vertical="center"/>
    </xf>
    <xf numFmtId="0" fontId="24" fillId="15" borderId="10" applyNumberFormat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/>
    </xf>
    <xf numFmtId="176" fontId="6" fillId="4" borderId="2" xfId="0" applyNumberFormat="1" applyFont="1" applyFill="1" applyBorder="1" applyAlignment="1">
      <alignment horizontal="center" vertical="center"/>
    </xf>
    <xf numFmtId="176" fontId="6" fillId="5" borderId="2" xfId="0" applyNumberFormat="1" applyFont="1" applyFill="1" applyBorder="1" applyAlignment="1">
      <alignment horizontal="center" vertical="center"/>
    </xf>
    <xf numFmtId="176" fontId="6" fillId="6" borderId="2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176" fontId="6" fillId="9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176" fontId="6" fillId="10" borderId="2" xfId="0" applyNumberFormat="1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1">
    <dxf>
      <fill>
        <patternFill patternType="solid">
          <bgColor theme="0"/>
        </patternFill>
      </fill>
    </dxf>
    <dxf>
      <fill>
        <patternFill patternType="solid">
          <bgColor theme="8" tint="0.4"/>
        </patternFill>
      </fill>
    </dxf>
    <dxf>
      <fill>
        <patternFill patternType="solid">
          <bgColor theme="5"/>
        </patternFill>
      </fill>
    </dxf>
    <dxf>
      <fill>
        <patternFill patternType="solid">
          <bgColor theme="9" tint="0.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PivotStylePreset2_Accent1" table="0" count="10" xr9:uid="{267968C8-6FFD-4C36-ACC1-9EA1FD1885CA}"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</tableStyles>
  <colors>
    <mruColors>
      <color rgb="00FFC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处理中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57962814381342"/>
          <c:y val="0.0206537890044577"/>
          <c:w val="0.906474985623922"/>
          <c:h val="0.6546652995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王玉倩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90000">
                  <a:schemeClr val="accent1"/>
                </a:gs>
              </a:gsLst>
              <a:lin ang="5400000" scaled="0"/>
            </a:gra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1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Sheet4!$B$2:$B$12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郁焘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40000"/>
                    <a:lumOff val="60000"/>
                  </a:schemeClr>
                </a:gs>
                <a:gs pos="90000">
                  <a:schemeClr val="accent2"/>
                </a:gs>
              </a:gsLst>
              <a:lin ang="5400000" scaled="0"/>
            </a:gradFill>
            <a:ln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2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Sheet4!$C$2:$C$12</c:f>
              <c:numCache>
                <c:formatCode>General</c:formatCode>
                <c:ptCount val="11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张晓颖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40000"/>
                    <a:lumOff val="60000"/>
                  </a:schemeClr>
                </a:gs>
                <a:gs pos="90000">
                  <a:schemeClr val="accent3"/>
                </a:gs>
              </a:gsLst>
              <a:lin ang="5400000" scaled="0"/>
            </a:gradFill>
            <a:ln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3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Sheet4!$D$2:$D$12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李鹏飞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40000"/>
                    <a:lumOff val="60000"/>
                  </a:schemeClr>
                </a:gs>
                <a:gs pos="90000">
                  <a:schemeClr val="accent4"/>
                </a:gs>
              </a:gsLst>
              <a:lin ang="5400000" scaled="0"/>
            </a:gradFill>
            <a:ln>
              <a:gradFill>
                <a:gsLst>
                  <a:gs pos="0">
                    <a:schemeClr val="accent4"/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4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Sheet4!$E$2:$E$12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沈志平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90000">
                  <a:schemeClr val="accent5"/>
                </a:gs>
              </a:gsLst>
              <a:lin ang="5400000" scaled="0"/>
            </a:gradFill>
            <a:ln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5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Sheet4!$F$2:$F$12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N/A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40000"/>
                    <a:lumOff val="60000"/>
                  </a:schemeClr>
                </a:gs>
                <a:gs pos="90000">
                  <a:schemeClr val="accent6"/>
                </a:gs>
              </a:gsLst>
              <a:lin ang="5400000" scaled="0"/>
            </a:gradFill>
            <a:ln>
              <a:gradFill>
                <a:gsLst>
                  <a:gs pos="0">
                    <a:schemeClr val="accent6"/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6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Sheet4!$G$2:$G$12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-32"/>
        <c:axId val="855185972"/>
        <c:axId val="779788962"/>
      </c:barChart>
      <c:catAx>
        <c:axId val="8551859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9788962"/>
        <c:crosses val="autoZero"/>
        <c:auto val="1"/>
        <c:lblAlgn val="ctr"/>
        <c:lblOffset val="100"/>
        <c:noMultiLvlLbl val="0"/>
      </c:catAx>
      <c:valAx>
        <c:axId val="77978896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51859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b379e86-5a2d-4e70-bb05-e1efcb0b163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>
        <a:outerShdw blurRad="76200" dist="25400" dir="2700000" algn="tl" rotWithShape="0">
          <a:schemeClr val="phClr">
            <a:lumMod val="50000"/>
            <a:alpha val="30000"/>
          </a:schemeClr>
        </a:outerShdw>
      </a:effectLst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167640</xdr:colOff>
      <xdr:row>10</xdr:row>
      <xdr:rowOff>18415</xdr:rowOff>
    </xdr:from>
    <xdr:to>
      <xdr:col>26</xdr:col>
      <xdr:colOff>108585</xdr:colOff>
      <xdr:row>33</xdr:row>
      <xdr:rowOff>85725</xdr:rowOff>
    </xdr:to>
    <xdr:graphicFrame>
      <xdr:nvGraphicFramePr>
        <xdr:cNvPr id="2" name="图表 1" descr="7b0a202020202263686172745265734964223a20223230343737303034220a7d0a"/>
        <xdr:cNvGraphicFramePr/>
      </xdr:nvGraphicFramePr>
      <xdr:xfrm>
        <a:off x="3677285" y="2152015"/>
        <a:ext cx="11717655" cy="49745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6408420</xdr:colOff>
          <xdr:row>0</xdr:row>
          <xdr:rowOff>127635</xdr:rowOff>
        </xdr:from>
        <xdr:to>
          <xdr:col>4</xdr:col>
          <xdr:colOff>7170420</xdr:colOff>
          <xdr:row>0</xdr:row>
          <xdr:rowOff>508635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1543665" y="127635"/>
              <a:ext cx="7620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7355205</xdr:colOff>
          <xdr:row>0</xdr:row>
          <xdr:rowOff>116840</xdr:rowOff>
        </xdr:from>
        <xdr:to>
          <xdr:col>5</xdr:col>
          <xdr:colOff>0</xdr:colOff>
          <xdr:row>0</xdr:row>
          <xdr:rowOff>497840</xdr:rowOff>
        </xdr:to>
        <xdr:sp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2490450" y="116840"/>
              <a:ext cx="66294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Q28"/>
  <sheetViews>
    <sheetView showGridLines="0" workbookViewId="0">
      <selection activeCell="N8" sqref="N8"/>
    </sheetView>
  </sheetViews>
  <sheetFormatPr defaultColWidth="8.89423076923077" defaultRowHeight="16.8"/>
  <cols>
    <col min="1" max="1" width="10.25" customWidth="1"/>
    <col min="2" max="2" width="6.25" customWidth="1"/>
    <col min="3" max="3" width="4.625" customWidth="1"/>
    <col min="4" max="6" width="6.25" customWidth="1"/>
    <col min="7" max="7" width="4.375" customWidth="1"/>
    <col min="13" max="13" width="10.6634615384615" customWidth="1"/>
    <col min="16" max="16" width="15.625" customWidth="1"/>
    <col min="17" max="17" width="18.625" customWidth="1"/>
  </cols>
  <sheetData>
    <row r="1" spans="1:17">
      <c r="B1" s="33" t="s">
        <v>0</v>
      </c>
      <c r="C1" s="33" t="s">
        <v>1</v>
      </c>
      <c r="D1" s="33" t="s">
        <v>2</v>
      </c>
      <c r="E1" s="33" t="s">
        <v>3</v>
      </c>
      <c r="F1" s="33" t="s">
        <v>4</v>
      </c>
      <c r="G1" s="33" t="s">
        <v>5</v>
      </c>
      <c r="Q1" s="34" t="s">
        <v>6</v>
      </c>
    </row>
    <row r="2" spans="1:17">
      <c r="A2" s="35" t="s">
        <v>7</v>
      </c>
      <c r="B2" s="35">
        <v>4</v>
      </c>
      <c r="C2" s="35">
        <v>7</v>
      </c>
      <c r="D2" s="35">
        <v>4</v>
      </c>
      <c r="E2" s="35">
        <v>4</v>
      </c>
      <c r="F2" s="35">
        <v>2</v>
      </c>
      <c r="G2" s="35">
        <v>0</v>
      </c>
      <c r="P2" s="36" t="s">
        <v>0</v>
      </c>
      <c r="Q2" s="36">
        <v>22.3</v>
      </c>
    </row>
    <row r="3" spans="1:17">
      <c r="A3" s="35" t="s">
        <v>8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P3" s="36" t="s">
        <v>1</v>
      </c>
      <c r="Q3" s="36">
        <v>25</v>
      </c>
    </row>
    <row r="4" spans="1:17">
      <c r="A4" s="35" t="s">
        <v>9</v>
      </c>
      <c r="B4" s="35">
        <v>2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P4" s="36" t="s">
        <v>2</v>
      </c>
      <c r="Q4" s="36">
        <v>21.7</v>
      </c>
    </row>
    <row r="5" spans="1:17">
      <c r="A5" s="35" t="s">
        <v>10</v>
      </c>
      <c r="B5" s="35">
        <v>0</v>
      </c>
      <c r="C5" s="35">
        <v>0</v>
      </c>
      <c r="D5" s="35">
        <v>3</v>
      </c>
      <c r="E5" s="35">
        <v>0</v>
      </c>
      <c r="F5" s="35">
        <v>0</v>
      </c>
      <c r="G5" s="35">
        <v>0</v>
      </c>
      <c r="P5" s="36" t="s">
        <v>3</v>
      </c>
      <c r="Q5" s="36">
        <v>20.5</v>
      </c>
    </row>
    <row r="6" spans="1:17">
      <c r="A6" s="35" t="s">
        <v>11</v>
      </c>
      <c r="B6" s="35">
        <v>5</v>
      </c>
      <c r="C6" s="35">
        <v>0</v>
      </c>
      <c r="D6" s="35">
        <v>2</v>
      </c>
      <c r="E6" s="35">
        <v>2</v>
      </c>
      <c r="F6" s="35">
        <v>0</v>
      </c>
      <c r="G6" s="35">
        <v>0</v>
      </c>
      <c r="P6" s="36" t="s">
        <v>4</v>
      </c>
      <c r="Q6" s="36">
        <v>4.2</v>
      </c>
    </row>
    <row r="7" spans="1:17">
      <c r="A7" s="35" t="s">
        <v>12</v>
      </c>
      <c r="B7" s="35">
        <v>0</v>
      </c>
      <c r="C7" s="35">
        <v>2</v>
      </c>
      <c r="D7" s="35">
        <v>0</v>
      </c>
      <c r="E7" s="35">
        <v>2</v>
      </c>
      <c r="F7" s="35">
        <v>0</v>
      </c>
      <c r="G7" s="35">
        <v>0</v>
      </c>
      <c r="P7" s="36" t="s">
        <v>5</v>
      </c>
      <c r="Q7" s="36">
        <v>0</v>
      </c>
    </row>
    <row r="8" spans="1:17">
      <c r="A8" s="35" t="s">
        <v>13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</row>
    <row r="9" spans="1:17">
      <c r="A9" s="35" t="s">
        <v>14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</row>
    <row r="10" spans="1:17">
      <c r="A10" s="35" t="s">
        <v>15</v>
      </c>
      <c r="B10" s="35">
        <v>0</v>
      </c>
      <c r="C10" s="35">
        <v>0</v>
      </c>
      <c r="D10" s="35">
        <v>1</v>
      </c>
      <c r="E10" s="35">
        <v>0</v>
      </c>
      <c r="F10" s="35">
        <v>0</v>
      </c>
      <c r="G10" s="35">
        <v>0</v>
      </c>
    </row>
    <row r="11" spans="1:17">
      <c r="A11" s="35" t="s">
        <v>16</v>
      </c>
      <c r="B11" s="35">
        <v>0</v>
      </c>
      <c r="C11" s="35">
        <v>0</v>
      </c>
      <c r="D11" s="35">
        <v>1</v>
      </c>
      <c r="E11" s="35">
        <v>0</v>
      </c>
      <c r="F11" s="35">
        <v>0</v>
      </c>
      <c r="G11" s="35">
        <v>0</v>
      </c>
    </row>
    <row r="12" spans="1:17">
      <c r="A12" s="35" t="s">
        <v>17</v>
      </c>
      <c r="B12" s="35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</row>
    <row r="13" spans="1:17">
      <c r="A13" s="33" t="s">
        <v>18</v>
      </c>
      <c r="B13" s="33">
        <v>11</v>
      </c>
      <c r="C13" s="33">
        <v>9</v>
      </c>
      <c r="D13" s="33">
        <v>11</v>
      </c>
      <c r="E13" s="33">
        <v>8</v>
      </c>
      <c r="F13" s="33">
        <v>2</v>
      </c>
      <c r="G13" s="33">
        <v>0</v>
      </c>
    </row>
    <row r="16" spans="1:17">
      <c r="B16" s="33" t="s">
        <v>0</v>
      </c>
      <c r="C16" s="33" t="s">
        <v>1</v>
      </c>
      <c r="D16" s="33" t="s">
        <v>2</v>
      </c>
      <c r="E16" s="33" t="s">
        <v>3</v>
      </c>
      <c r="F16" s="33" t="s">
        <v>4</v>
      </c>
      <c r="G16" s="33" t="s">
        <v>5</v>
      </c>
    </row>
    <row r="17" spans="1:7">
      <c r="A17" s="35" t="s">
        <v>7</v>
      </c>
      <c r="B17" s="35">
        <v>11</v>
      </c>
      <c r="C17" s="35">
        <v>11</v>
      </c>
      <c r="D17" s="35">
        <v>14</v>
      </c>
      <c r="E17" s="35">
        <v>12</v>
      </c>
      <c r="F17" s="35">
        <v>7</v>
      </c>
      <c r="G17" s="35">
        <v>2</v>
      </c>
    </row>
    <row r="18" spans="1:7">
      <c r="A18" s="35" t="s">
        <v>8</v>
      </c>
      <c r="B18" s="35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</row>
    <row r="19" spans="1:7">
      <c r="A19" s="35" t="s">
        <v>9</v>
      </c>
      <c r="B19" s="35">
        <v>2</v>
      </c>
      <c r="C19" s="35">
        <v>7</v>
      </c>
      <c r="D19" s="35">
        <v>4</v>
      </c>
      <c r="E19" s="35">
        <v>2</v>
      </c>
      <c r="F19" s="35">
        <v>4</v>
      </c>
      <c r="G19" s="35">
        <v>0</v>
      </c>
    </row>
    <row r="20" spans="1:7">
      <c r="A20" s="35" t="s">
        <v>10</v>
      </c>
      <c r="B20" s="35">
        <v>0</v>
      </c>
      <c r="C20" s="35">
        <v>2</v>
      </c>
      <c r="D20" s="35">
        <v>12</v>
      </c>
      <c r="E20" s="35">
        <v>0</v>
      </c>
      <c r="F20" s="35">
        <v>1</v>
      </c>
      <c r="G20" s="35">
        <v>0</v>
      </c>
    </row>
    <row r="21" spans="1:7">
      <c r="A21" s="35" t="s">
        <v>11</v>
      </c>
      <c r="B21" s="35">
        <v>5</v>
      </c>
      <c r="C21" s="35">
        <v>0</v>
      </c>
      <c r="D21" s="35">
        <v>2</v>
      </c>
      <c r="E21" s="35">
        <v>5</v>
      </c>
      <c r="F21" s="35">
        <v>0</v>
      </c>
      <c r="G21" s="35">
        <v>0</v>
      </c>
    </row>
    <row r="22" spans="1:7">
      <c r="A22" s="35" t="s">
        <v>12</v>
      </c>
      <c r="B22" s="35">
        <v>3</v>
      </c>
      <c r="C22" s="35">
        <v>3</v>
      </c>
      <c r="D22" s="35">
        <v>4</v>
      </c>
      <c r="E22" s="35">
        <v>2</v>
      </c>
      <c r="F22" s="35">
        <v>0</v>
      </c>
      <c r="G22" s="35">
        <v>0</v>
      </c>
    </row>
    <row r="23" spans="1:7">
      <c r="A23" s="35" t="s">
        <v>13</v>
      </c>
      <c r="B23" s="35">
        <v>1</v>
      </c>
      <c r="C23" s="35">
        <v>1</v>
      </c>
      <c r="D23" s="35">
        <v>0</v>
      </c>
      <c r="E23" s="35">
        <v>1</v>
      </c>
      <c r="F23" s="35">
        <v>0</v>
      </c>
      <c r="G23" s="35">
        <v>0</v>
      </c>
    </row>
    <row r="24" spans="1:7">
      <c r="A24" s="35" t="s">
        <v>14</v>
      </c>
      <c r="B24" s="35">
        <v>0</v>
      </c>
      <c r="C24" s="35">
        <v>1</v>
      </c>
      <c r="D24" s="35">
        <v>0</v>
      </c>
      <c r="E24" s="35">
        <v>0</v>
      </c>
      <c r="F24" s="35">
        <v>0</v>
      </c>
      <c r="G24" s="35">
        <v>0</v>
      </c>
    </row>
    <row r="25" spans="1:7">
      <c r="A25" s="35" t="s">
        <v>15</v>
      </c>
      <c r="B25" s="35">
        <v>0</v>
      </c>
      <c r="C25" s="35">
        <v>0</v>
      </c>
      <c r="D25" s="35">
        <v>1</v>
      </c>
      <c r="E25" s="35">
        <v>2</v>
      </c>
      <c r="F25" s="35">
        <v>0</v>
      </c>
      <c r="G25" s="35">
        <v>0</v>
      </c>
    </row>
    <row r="26" spans="1:7">
      <c r="A26" s="35" t="s">
        <v>16</v>
      </c>
      <c r="B26" s="35">
        <v>1</v>
      </c>
      <c r="C26" s="35">
        <v>0</v>
      </c>
      <c r="D26" s="35">
        <v>1</v>
      </c>
      <c r="E26" s="35">
        <v>0</v>
      </c>
      <c r="F26" s="35">
        <v>0</v>
      </c>
      <c r="G26" s="35">
        <v>0</v>
      </c>
    </row>
    <row r="27" spans="1:7">
      <c r="A27" s="35" t="s">
        <v>17</v>
      </c>
      <c r="B27" s="35">
        <v>0</v>
      </c>
      <c r="C27" s="35">
        <v>1</v>
      </c>
      <c r="D27" s="35">
        <v>0</v>
      </c>
      <c r="E27" s="35">
        <v>0</v>
      </c>
      <c r="F27" s="35">
        <v>0</v>
      </c>
      <c r="G27" s="35">
        <v>0</v>
      </c>
    </row>
    <row r="28" spans="1:7">
      <c r="A28" s="33" t="s">
        <v>18</v>
      </c>
      <c r="B28" s="33">
        <v>23</v>
      </c>
      <c r="C28" s="33">
        <v>26</v>
      </c>
      <c r="D28" s="33">
        <v>38</v>
      </c>
      <c r="E28" s="33">
        <v>24</v>
      </c>
      <c r="F28" s="33">
        <v>12</v>
      </c>
      <c r="G28" s="33">
        <v>2</v>
      </c>
    </row>
  </sheetData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143"/>
  <sheetViews>
    <sheetView tabSelected="1" zoomScale="70" zoomScaleNormal="70" workbookViewId="0">
      <pane ySplit="1" topLeftCell="A115" activePane="bottomLeft" state="frozen"/>
      <selection/>
      <selection pane="bottomLeft" activeCell="D130" sqref="D130"/>
    </sheetView>
  </sheetViews>
  <sheetFormatPr defaultColWidth="9" defaultRowHeight="20.4"/>
  <cols>
    <col min="1" max="1" width="7.14423076923077" style="10" customWidth="1"/>
    <col min="2" max="2" width="20.1538461538462" style="11" customWidth="1"/>
    <col min="3" max="3" width="19.3653846153846" style="10" customWidth="1"/>
    <col min="4" max="4" width="31.0961538461538" style="10" customWidth="1"/>
    <col min="5" max="5" width="121.413461538462" style="10" customWidth="1"/>
    <col min="6" max="6" width="18.5576923076923" style="10" customWidth="1"/>
    <col min="7" max="7" width="10.4711538461538" style="10" customWidth="1"/>
    <col min="8" max="8" width="18.6346153846154" style="12" customWidth="1"/>
    <col min="9" max="9" width="18.7211538461538" style="12" hidden="1" customWidth="1"/>
    <col min="10" max="10" width="18.6346153846154" style="12" customWidth="1"/>
    <col min="11" max="11" width="16.8173076923077" style="13" customWidth="1"/>
    <col min="12" max="12" width="12.3653846153846" style="10" customWidth="1"/>
    <col min="13" max="13" width="9.99038461538461" style="10" customWidth="1"/>
    <col min="14" max="15" width="12.1346153846154" style="10" customWidth="1"/>
    <col min="16" max="16" width="19.9903846153846" style="10" customWidth="1"/>
    <col min="17" max="17" width="20.3173076923077" style="10" customWidth="1"/>
    <col min="18" max="18" width="14.4423076923077" style="10" customWidth="1"/>
    <col min="19" max="19" width="23.9711538461538" style="10" customWidth="1"/>
    <col min="20" max="20" width="23.6538461538462" style="10" customWidth="1"/>
    <col min="21" max="16384" width="9" style="10"/>
  </cols>
  <sheetData>
    <row r="1" s="9" customFormat="1" ht="50" customHeight="1" spans="1:17">
      <c r="A1" s="14" t="s">
        <v>19</v>
      </c>
      <c r="B1" s="14" t="s">
        <v>20</v>
      </c>
      <c r="C1" s="14" t="s">
        <v>21</v>
      </c>
      <c r="D1" s="14" t="s">
        <v>22</v>
      </c>
      <c r="E1" s="14" t="s">
        <v>23</v>
      </c>
      <c r="F1" s="14" t="s">
        <v>24</v>
      </c>
      <c r="G1" s="14" t="s">
        <v>25</v>
      </c>
      <c r="H1" s="14" t="s">
        <v>26</v>
      </c>
      <c r="I1" s="14" t="s">
        <v>27</v>
      </c>
      <c r="J1" s="14" t="s">
        <v>28</v>
      </c>
      <c r="K1" s="15" t="s">
        <v>29</v>
      </c>
      <c r="L1" s="14" t="s">
        <v>30</v>
      </c>
      <c r="M1" s="14" t="s">
        <v>31</v>
      </c>
      <c r="N1" s="14" t="s">
        <v>32</v>
      </c>
      <c r="O1" s="14" t="s">
        <v>33</v>
      </c>
      <c r="P1" s="14" t="s">
        <v>34</v>
      </c>
      <c r="Q1" s="14" t="s">
        <v>35</v>
      </c>
    </row>
    <row r="2" s="10" customFormat="1" ht="21" hidden="1" spans="1:17">
      <c r="A2" s="16"/>
      <c r="B2" s="17" t="s">
        <v>7</v>
      </c>
      <c r="C2" s="18"/>
      <c r="D2" s="19" t="s">
        <v>36</v>
      </c>
      <c r="E2" s="19" t="s">
        <v>37</v>
      </c>
      <c r="F2" s="20" t="s">
        <v>38</v>
      </c>
      <c r="G2" s="16">
        <v>1</v>
      </c>
      <c r="H2" s="21">
        <v>46121</v>
      </c>
      <c r="I2" s="21"/>
      <c r="J2" s="22">
        <v>46169</v>
      </c>
      <c r="K2" s="22">
        <v>46172</v>
      </c>
      <c r="L2" s="16" t="s">
        <v>2</v>
      </c>
      <c r="M2" s="16">
        <v>2</v>
      </c>
      <c r="N2" s="16" t="s">
        <v>39</v>
      </c>
      <c r="O2" s="16"/>
      <c r="P2" s="16"/>
      <c r="Q2" s="16"/>
    </row>
    <row r="3" s="10" customFormat="1" ht="21" hidden="1" spans="1:17">
      <c r="A3" s="16"/>
      <c r="B3" s="17" t="s">
        <v>7</v>
      </c>
      <c r="C3" s="18"/>
      <c r="D3" s="19" t="s">
        <v>36</v>
      </c>
      <c r="E3" s="19" t="s">
        <v>37</v>
      </c>
      <c r="F3" s="20" t="s">
        <v>40</v>
      </c>
      <c r="G3" s="16">
        <v>1</v>
      </c>
      <c r="H3" s="21">
        <v>46121</v>
      </c>
      <c r="I3" s="21"/>
      <c r="J3" s="22">
        <v>46164</v>
      </c>
      <c r="K3" s="22">
        <v>46172</v>
      </c>
      <c r="L3" s="16" t="s">
        <v>3</v>
      </c>
      <c r="M3" s="16">
        <v>2</v>
      </c>
      <c r="N3" s="16" t="s">
        <v>39</v>
      </c>
      <c r="O3" s="16"/>
      <c r="P3" s="16"/>
      <c r="Q3" s="16"/>
    </row>
    <row r="4" s="10" customFormat="1" ht="21" hidden="1" spans="1:17">
      <c r="A4" s="16"/>
      <c r="B4" s="17" t="s">
        <v>7</v>
      </c>
      <c r="C4" s="18"/>
      <c r="D4" s="19" t="s">
        <v>36</v>
      </c>
      <c r="E4" s="19" t="s">
        <v>37</v>
      </c>
      <c r="F4" s="20" t="s">
        <v>41</v>
      </c>
      <c r="G4" s="16">
        <v>1</v>
      </c>
      <c r="H4" s="21">
        <v>46121</v>
      </c>
      <c r="I4" s="21"/>
      <c r="J4" s="22">
        <v>46167</v>
      </c>
      <c r="K4" s="22">
        <v>46172</v>
      </c>
      <c r="L4" s="16" t="s">
        <v>2</v>
      </c>
      <c r="M4" s="16">
        <v>2</v>
      </c>
      <c r="N4" s="16" t="s">
        <v>39</v>
      </c>
      <c r="O4" s="16"/>
      <c r="P4" s="16"/>
      <c r="Q4" s="16"/>
    </row>
    <row r="5" s="10" customFormat="1" ht="21" hidden="1" spans="1:17">
      <c r="A5" s="16"/>
      <c r="B5" s="17" t="s">
        <v>7</v>
      </c>
      <c r="C5" s="18"/>
      <c r="D5" s="19" t="s">
        <v>36</v>
      </c>
      <c r="E5" s="19" t="s">
        <v>37</v>
      </c>
      <c r="F5" s="20" t="s">
        <v>42</v>
      </c>
      <c r="G5" s="16">
        <v>3</v>
      </c>
      <c r="H5" s="21">
        <v>46121</v>
      </c>
      <c r="I5" s="21"/>
      <c r="J5" s="23">
        <v>46172</v>
      </c>
      <c r="K5" s="22">
        <v>46172</v>
      </c>
      <c r="L5" s="16" t="s">
        <v>3</v>
      </c>
      <c r="M5" s="16">
        <v>2</v>
      </c>
      <c r="N5" s="16" t="s">
        <v>39</v>
      </c>
      <c r="O5" s="16"/>
      <c r="P5" s="16"/>
      <c r="Q5" s="16"/>
    </row>
    <row r="6" s="10" customFormat="1" ht="21" hidden="1" spans="1:17">
      <c r="A6" s="16"/>
      <c r="B6" s="17" t="s">
        <v>7</v>
      </c>
      <c r="C6" s="18"/>
      <c r="D6" s="19" t="s">
        <v>43</v>
      </c>
      <c r="E6" s="19" t="s">
        <v>44</v>
      </c>
      <c r="F6" s="20" t="s">
        <v>45</v>
      </c>
      <c r="G6" s="16">
        <v>1</v>
      </c>
      <c r="H6" s="21">
        <v>46122</v>
      </c>
      <c r="I6" s="21"/>
      <c r="J6" s="24">
        <v>46146</v>
      </c>
      <c r="K6" s="25">
        <v>46203</v>
      </c>
      <c r="L6" s="16" t="s">
        <v>0</v>
      </c>
      <c r="M6" s="16">
        <v>2</v>
      </c>
      <c r="N6" s="16"/>
      <c r="O6" s="16"/>
      <c r="P6" s="16"/>
      <c r="Q6" s="16"/>
    </row>
    <row r="7" s="10" customFormat="1" ht="21" hidden="1" spans="1:17">
      <c r="A7" s="16"/>
      <c r="B7" s="17" t="s">
        <v>9</v>
      </c>
      <c r="C7" s="18"/>
      <c r="D7" s="19" t="s">
        <v>43</v>
      </c>
      <c r="E7" s="19" t="s">
        <v>46</v>
      </c>
      <c r="F7" s="20" t="s">
        <v>47</v>
      </c>
      <c r="G7" s="16">
        <v>2</v>
      </c>
      <c r="H7" s="21">
        <v>46122</v>
      </c>
      <c r="I7" s="21"/>
      <c r="J7" s="26">
        <v>46169</v>
      </c>
      <c r="K7" s="25">
        <v>46203</v>
      </c>
      <c r="L7" s="16" t="s">
        <v>1</v>
      </c>
      <c r="M7" s="16">
        <v>0.5</v>
      </c>
      <c r="N7" s="16"/>
      <c r="O7" s="16"/>
      <c r="P7" s="16"/>
      <c r="Q7" s="16"/>
    </row>
    <row r="8" s="10" customFormat="1" ht="21" hidden="1" spans="1:17">
      <c r="A8" s="16"/>
      <c r="B8" s="17" t="s">
        <v>13</v>
      </c>
      <c r="C8" s="18" t="s">
        <v>48</v>
      </c>
      <c r="D8" s="19" t="s">
        <v>49</v>
      </c>
      <c r="E8" s="19" t="s">
        <v>50</v>
      </c>
      <c r="F8" s="20" t="s">
        <v>51</v>
      </c>
      <c r="G8" s="16">
        <v>14</v>
      </c>
      <c r="H8" s="21">
        <v>46132</v>
      </c>
      <c r="I8" s="21"/>
      <c r="J8" s="22">
        <v>46164</v>
      </c>
      <c r="K8" s="22">
        <v>46178</v>
      </c>
      <c r="L8" s="16" t="s">
        <v>1</v>
      </c>
      <c r="M8" s="16">
        <v>3</v>
      </c>
      <c r="N8" s="16"/>
      <c r="O8" s="16"/>
      <c r="P8" s="16"/>
      <c r="Q8" s="16"/>
    </row>
    <row r="9" s="10" customFormat="1" ht="21" spans="1:17">
      <c r="A9" s="16"/>
      <c r="B9" s="17" t="s">
        <v>12</v>
      </c>
      <c r="C9" s="18"/>
      <c r="D9" s="19" t="s">
        <v>52</v>
      </c>
      <c r="E9" s="19" t="s">
        <v>53</v>
      </c>
      <c r="F9" s="20" t="s">
        <v>54</v>
      </c>
      <c r="G9" s="16">
        <v>1</v>
      </c>
      <c r="H9" s="21">
        <v>46140</v>
      </c>
      <c r="I9" s="21"/>
      <c r="J9" s="26"/>
      <c r="K9" s="25">
        <v>46203</v>
      </c>
      <c r="L9" s="16" t="s">
        <v>3</v>
      </c>
      <c r="M9" s="16">
        <v>2</v>
      </c>
      <c r="N9" s="16"/>
      <c r="O9" s="16"/>
      <c r="P9" s="16"/>
      <c r="Q9" s="16"/>
    </row>
    <row r="10" s="10" customFormat="1" ht="21" spans="1:17">
      <c r="A10" s="16"/>
      <c r="B10" s="17" t="s">
        <v>12</v>
      </c>
      <c r="C10" s="18"/>
      <c r="D10" s="19" t="s">
        <v>52</v>
      </c>
      <c r="E10" s="19" t="s">
        <v>53</v>
      </c>
      <c r="F10" s="20" t="s">
        <v>55</v>
      </c>
      <c r="G10" s="16">
        <v>1</v>
      </c>
      <c r="H10" s="21">
        <v>46140</v>
      </c>
      <c r="I10" s="21"/>
      <c r="J10" s="26"/>
      <c r="K10" s="25">
        <v>46203</v>
      </c>
      <c r="L10" s="16" t="s">
        <v>3</v>
      </c>
      <c r="M10" s="16">
        <v>2</v>
      </c>
      <c r="N10" s="16"/>
      <c r="O10" s="16"/>
      <c r="P10" s="16"/>
      <c r="Q10" s="16"/>
    </row>
    <row r="11" s="10" customFormat="1" ht="21" hidden="1" spans="1:17">
      <c r="A11" s="16"/>
      <c r="B11" s="17" t="s">
        <v>9</v>
      </c>
      <c r="C11" s="18"/>
      <c r="D11" s="19" t="s">
        <v>56</v>
      </c>
      <c r="E11" s="19" t="s">
        <v>57</v>
      </c>
      <c r="F11" s="20" t="s">
        <v>58</v>
      </c>
      <c r="G11" s="16">
        <v>11</v>
      </c>
      <c r="H11" s="21">
        <v>46148</v>
      </c>
      <c r="I11" s="21"/>
      <c r="J11" s="22">
        <v>46167</v>
      </c>
      <c r="K11" s="23">
        <v>46181</v>
      </c>
      <c r="L11" s="16" t="s">
        <v>1</v>
      </c>
      <c r="M11" s="16">
        <v>2</v>
      </c>
      <c r="N11" s="16"/>
      <c r="O11" s="16"/>
      <c r="P11" s="16"/>
      <c r="Q11" s="16"/>
    </row>
    <row r="12" s="10" customFormat="1" ht="21" hidden="1" spans="1:17">
      <c r="A12" s="16"/>
      <c r="B12" s="17" t="s">
        <v>13</v>
      </c>
      <c r="C12" s="18"/>
      <c r="D12" s="19" t="s">
        <v>59</v>
      </c>
      <c r="E12" s="19" t="s">
        <v>60</v>
      </c>
      <c r="F12" s="20" t="s">
        <v>61</v>
      </c>
      <c r="G12" s="16">
        <v>65</v>
      </c>
      <c r="H12" s="21">
        <v>46148</v>
      </c>
      <c r="I12" s="21"/>
      <c r="J12" s="22">
        <v>46165</v>
      </c>
      <c r="K12" s="25">
        <v>46195</v>
      </c>
      <c r="L12" s="16" t="s">
        <v>3</v>
      </c>
      <c r="M12" s="16">
        <v>1</v>
      </c>
      <c r="N12" s="16"/>
      <c r="O12" s="16"/>
      <c r="P12" s="16"/>
      <c r="Q12" s="16"/>
    </row>
    <row r="13" s="10" customFormat="1" ht="21" hidden="1" spans="1:17">
      <c r="A13" s="16"/>
      <c r="B13" s="17" t="s">
        <v>10</v>
      </c>
      <c r="C13" s="18"/>
      <c r="D13" s="19" t="s">
        <v>62</v>
      </c>
      <c r="E13" s="19" t="s">
        <v>63</v>
      </c>
      <c r="F13" s="20" t="s">
        <v>64</v>
      </c>
      <c r="G13" s="16">
        <v>28</v>
      </c>
      <c r="H13" s="21">
        <v>46153</v>
      </c>
      <c r="I13" s="21"/>
      <c r="J13" s="27">
        <v>46176</v>
      </c>
      <c r="K13" s="25">
        <v>46203</v>
      </c>
      <c r="L13" s="16" t="s">
        <v>2</v>
      </c>
      <c r="M13" s="16">
        <v>2</v>
      </c>
      <c r="N13" s="16"/>
      <c r="O13" s="16"/>
      <c r="P13" s="16"/>
      <c r="Q13" s="16"/>
    </row>
    <row r="14" s="10" customFormat="1" ht="21" hidden="1" spans="1:17">
      <c r="A14" s="16"/>
      <c r="B14" s="17" t="s">
        <v>9</v>
      </c>
      <c r="C14" s="18"/>
      <c r="D14" s="19" t="s">
        <v>65</v>
      </c>
      <c r="E14" s="19" t="s">
        <v>66</v>
      </c>
      <c r="F14" s="20" t="s">
        <v>67</v>
      </c>
      <c r="G14" s="16">
        <v>3</v>
      </c>
      <c r="H14" s="21">
        <v>46154</v>
      </c>
      <c r="I14" s="21"/>
      <c r="J14" s="22">
        <v>46167</v>
      </c>
      <c r="K14" s="25">
        <v>46193</v>
      </c>
      <c r="L14" s="16" t="s">
        <v>1</v>
      </c>
      <c r="M14" s="16">
        <v>0.3</v>
      </c>
      <c r="N14" s="16"/>
      <c r="O14" s="16"/>
      <c r="P14" s="16"/>
      <c r="Q14" s="16"/>
    </row>
    <row r="15" s="10" customFormat="1" ht="21" hidden="1" spans="1:17">
      <c r="A15" s="16"/>
      <c r="B15" s="17" t="s">
        <v>10</v>
      </c>
      <c r="C15" s="18"/>
      <c r="D15" s="19" t="s">
        <v>68</v>
      </c>
      <c r="E15" s="19" t="s">
        <v>69</v>
      </c>
      <c r="F15" s="20" t="s">
        <v>67</v>
      </c>
      <c r="G15" s="16">
        <v>1</v>
      </c>
      <c r="H15" s="21">
        <v>46155</v>
      </c>
      <c r="I15" s="21"/>
      <c r="J15" s="23">
        <v>46171</v>
      </c>
      <c r="K15" s="25">
        <v>46196</v>
      </c>
      <c r="L15" s="16" t="s">
        <v>2</v>
      </c>
      <c r="M15" s="16">
        <v>0.2</v>
      </c>
      <c r="N15" s="16"/>
      <c r="O15" s="16"/>
      <c r="P15" s="16"/>
      <c r="Q15" s="16"/>
    </row>
    <row r="16" s="10" customFormat="1" ht="21" hidden="1" spans="1:17">
      <c r="A16" s="16"/>
      <c r="B16" s="17" t="s">
        <v>9</v>
      </c>
      <c r="C16" s="18"/>
      <c r="D16" s="19" t="s">
        <v>68</v>
      </c>
      <c r="E16" s="19" t="s">
        <v>70</v>
      </c>
      <c r="F16" s="20" t="s">
        <v>67</v>
      </c>
      <c r="G16" s="16">
        <v>2</v>
      </c>
      <c r="H16" s="21">
        <v>46155</v>
      </c>
      <c r="I16" s="21"/>
      <c r="J16" s="22">
        <v>46167</v>
      </c>
      <c r="K16" s="25">
        <v>46196</v>
      </c>
      <c r="L16" s="16" t="s">
        <v>1</v>
      </c>
      <c r="M16" s="16">
        <v>0.2</v>
      </c>
      <c r="N16" s="16"/>
      <c r="O16" s="16"/>
      <c r="P16" s="16"/>
      <c r="Q16" s="16"/>
    </row>
    <row r="17" s="10" customFormat="1" ht="21" hidden="1" spans="1:17">
      <c r="A17" s="16"/>
      <c r="B17" s="17" t="s">
        <v>14</v>
      </c>
      <c r="C17" s="18"/>
      <c r="D17" s="19" t="s">
        <v>71</v>
      </c>
      <c r="E17" s="19" t="s">
        <v>72</v>
      </c>
      <c r="F17" s="20" t="s">
        <v>67</v>
      </c>
      <c r="G17" s="16">
        <v>2</v>
      </c>
      <c r="H17" s="21">
        <v>46156</v>
      </c>
      <c r="I17" s="21"/>
      <c r="J17" s="22">
        <v>46164</v>
      </c>
      <c r="K17" s="23">
        <v>46183</v>
      </c>
      <c r="L17" s="16" t="s">
        <v>1</v>
      </c>
      <c r="M17" s="16">
        <v>0.8</v>
      </c>
      <c r="N17" s="16"/>
      <c r="O17" s="16"/>
      <c r="P17" s="16" t="s">
        <v>73</v>
      </c>
      <c r="Q17" s="16"/>
    </row>
    <row r="18" s="10" customFormat="1" ht="41" spans="1:17">
      <c r="A18" s="16"/>
      <c r="B18" s="17" t="s">
        <v>7</v>
      </c>
      <c r="C18" s="18"/>
      <c r="D18" s="19" t="s">
        <v>74</v>
      </c>
      <c r="E18" s="19" t="s">
        <v>75</v>
      </c>
      <c r="F18" s="28" t="s">
        <v>76</v>
      </c>
      <c r="G18" s="16">
        <v>1</v>
      </c>
      <c r="H18" s="21">
        <v>46156</v>
      </c>
      <c r="I18" s="21"/>
      <c r="J18" s="26"/>
      <c r="K18" s="23">
        <v>46213</v>
      </c>
      <c r="L18" s="16" t="s">
        <v>0</v>
      </c>
      <c r="M18" s="16">
        <v>2.5</v>
      </c>
      <c r="N18" s="16" t="s">
        <v>77</v>
      </c>
      <c r="O18" s="16"/>
      <c r="P18" s="16"/>
      <c r="Q18" s="16"/>
    </row>
    <row r="19" s="10" customFormat="1" ht="41" hidden="1" spans="1:17">
      <c r="A19" s="16"/>
      <c r="B19" s="17" t="s">
        <v>7</v>
      </c>
      <c r="C19" s="18"/>
      <c r="D19" s="19" t="s">
        <v>74</v>
      </c>
      <c r="E19" s="19" t="s">
        <v>75</v>
      </c>
      <c r="F19" s="28" t="s">
        <v>78</v>
      </c>
      <c r="G19" s="16">
        <v>1</v>
      </c>
      <c r="H19" s="21">
        <v>46156</v>
      </c>
      <c r="I19" s="21"/>
      <c r="J19" s="25">
        <v>46181</v>
      </c>
      <c r="K19" s="23">
        <v>46213</v>
      </c>
      <c r="L19" s="16" t="s">
        <v>3</v>
      </c>
      <c r="M19" s="16">
        <v>2.3</v>
      </c>
      <c r="N19" s="16"/>
      <c r="O19" s="16"/>
      <c r="P19" s="16"/>
      <c r="Q19" s="16"/>
    </row>
    <row r="20" s="10" customFormat="1" ht="41" spans="1:17">
      <c r="A20" s="16"/>
      <c r="B20" s="17" t="s">
        <v>7</v>
      </c>
      <c r="C20" s="18"/>
      <c r="D20" s="19" t="s">
        <v>74</v>
      </c>
      <c r="E20" s="19" t="s">
        <v>75</v>
      </c>
      <c r="F20" s="28" t="s">
        <v>79</v>
      </c>
      <c r="G20" s="16">
        <v>1</v>
      </c>
      <c r="H20" s="21">
        <v>46156</v>
      </c>
      <c r="I20" s="21"/>
      <c r="J20" s="26"/>
      <c r="K20" s="23">
        <v>46213</v>
      </c>
      <c r="L20" s="16" t="s">
        <v>2</v>
      </c>
      <c r="M20" s="16">
        <v>3</v>
      </c>
      <c r="N20" s="16"/>
      <c r="O20" s="16"/>
      <c r="P20" s="16"/>
      <c r="Q20" s="16"/>
    </row>
    <row r="21" s="10" customFormat="1" ht="41" hidden="1" spans="1:17">
      <c r="A21" s="16"/>
      <c r="B21" s="17" t="s">
        <v>7</v>
      </c>
      <c r="C21" s="18"/>
      <c r="D21" s="19" t="s">
        <v>74</v>
      </c>
      <c r="E21" s="19" t="s">
        <v>75</v>
      </c>
      <c r="F21" s="28" t="s">
        <v>80</v>
      </c>
      <c r="G21" s="16">
        <v>1</v>
      </c>
      <c r="H21" s="21">
        <v>46156</v>
      </c>
      <c r="I21" s="21"/>
      <c r="J21" s="25">
        <v>46184</v>
      </c>
      <c r="K21" s="23">
        <v>46213</v>
      </c>
      <c r="L21" s="16" t="s">
        <v>1</v>
      </c>
      <c r="M21" s="16">
        <v>2</v>
      </c>
      <c r="N21" s="16"/>
      <c r="O21" s="16"/>
      <c r="P21" s="16"/>
      <c r="Q21" s="16"/>
    </row>
    <row r="22" s="10" customFormat="1" ht="41" hidden="1" spans="1:17">
      <c r="A22" s="16"/>
      <c r="B22" s="17" t="s">
        <v>7</v>
      </c>
      <c r="C22" s="18"/>
      <c r="D22" s="19" t="s">
        <v>74</v>
      </c>
      <c r="E22" s="19" t="s">
        <v>75</v>
      </c>
      <c r="F22" s="28" t="s">
        <v>81</v>
      </c>
      <c r="G22" s="16">
        <v>1</v>
      </c>
      <c r="H22" s="21">
        <v>46156</v>
      </c>
      <c r="I22" s="21"/>
      <c r="J22" s="26">
        <v>46197</v>
      </c>
      <c r="K22" s="23">
        <v>46213</v>
      </c>
      <c r="L22" s="16" t="s">
        <v>1</v>
      </c>
      <c r="M22" s="16">
        <v>3</v>
      </c>
      <c r="N22" s="16"/>
      <c r="O22" s="16"/>
      <c r="P22" s="16"/>
      <c r="Q22" s="16"/>
    </row>
    <row r="23" s="10" customFormat="1" ht="41" hidden="1" spans="1:17">
      <c r="A23" s="16"/>
      <c r="B23" s="17" t="s">
        <v>7</v>
      </c>
      <c r="C23" s="18"/>
      <c r="D23" s="19" t="s">
        <v>74</v>
      </c>
      <c r="E23" s="19" t="s">
        <v>75</v>
      </c>
      <c r="F23" s="28" t="s">
        <v>82</v>
      </c>
      <c r="G23" s="16">
        <v>2</v>
      </c>
      <c r="H23" s="21">
        <v>46156</v>
      </c>
      <c r="I23" s="21"/>
      <c r="J23" s="25">
        <v>46185</v>
      </c>
      <c r="K23" s="23">
        <v>46213</v>
      </c>
      <c r="L23" s="16" t="s">
        <v>3</v>
      </c>
      <c r="M23" s="16">
        <v>2.5</v>
      </c>
      <c r="N23" s="16"/>
      <c r="O23" s="16"/>
      <c r="P23" s="16"/>
      <c r="Q23" s="16"/>
    </row>
    <row r="24" s="10" customFormat="1" ht="41" hidden="1" spans="1:17">
      <c r="A24" s="16"/>
      <c r="B24" s="17" t="s">
        <v>7</v>
      </c>
      <c r="C24" s="18"/>
      <c r="D24" s="19" t="s">
        <v>74</v>
      </c>
      <c r="E24" s="19" t="s">
        <v>75</v>
      </c>
      <c r="F24" s="28" t="s">
        <v>83</v>
      </c>
      <c r="G24" s="16">
        <v>1</v>
      </c>
      <c r="H24" s="21">
        <v>46156</v>
      </c>
      <c r="I24" s="21"/>
      <c r="J24" s="26">
        <v>46198</v>
      </c>
      <c r="K24" s="23">
        <v>46213</v>
      </c>
      <c r="L24" s="16" t="s">
        <v>2</v>
      </c>
      <c r="M24" s="16">
        <v>2.5</v>
      </c>
      <c r="N24" s="16"/>
      <c r="O24" s="16"/>
      <c r="P24" s="16"/>
      <c r="Q24" s="16"/>
    </row>
    <row r="25" s="10" customFormat="1" ht="41" hidden="1" spans="1:17">
      <c r="A25" s="16"/>
      <c r="B25" s="17" t="s">
        <v>7</v>
      </c>
      <c r="C25" s="18"/>
      <c r="D25" s="19" t="s">
        <v>74</v>
      </c>
      <c r="E25" s="19" t="s">
        <v>75</v>
      </c>
      <c r="F25" s="28" t="s">
        <v>84</v>
      </c>
      <c r="G25" s="16">
        <v>1</v>
      </c>
      <c r="H25" s="21">
        <v>46156</v>
      </c>
      <c r="I25" s="21"/>
      <c r="J25" s="26">
        <v>46198</v>
      </c>
      <c r="K25" s="23">
        <v>46213</v>
      </c>
      <c r="L25" s="16" t="s">
        <v>2</v>
      </c>
      <c r="M25" s="16">
        <v>2</v>
      </c>
      <c r="N25" s="16"/>
      <c r="O25" s="16"/>
      <c r="P25" s="16"/>
      <c r="Q25" s="16"/>
    </row>
    <row r="26" s="10" customFormat="1" ht="41" hidden="1" spans="1:17">
      <c r="A26" s="16"/>
      <c r="B26" s="17" t="s">
        <v>7</v>
      </c>
      <c r="C26" s="18"/>
      <c r="D26" s="19" t="s">
        <v>74</v>
      </c>
      <c r="E26" s="19" t="s">
        <v>75</v>
      </c>
      <c r="F26" s="28" t="s">
        <v>85</v>
      </c>
      <c r="G26" s="16">
        <v>1</v>
      </c>
      <c r="H26" s="21">
        <v>46156</v>
      </c>
      <c r="I26" s="21"/>
      <c r="J26" s="26">
        <v>46190</v>
      </c>
      <c r="K26" s="23">
        <v>46213</v>
      </c>
      <c r="L26" s="16" t="s">
        <v>3</v>
      </c>
      <c r="M26" s="16">
        <v>2</v>
      </c>
      <c r="N26" s="16"/>
      <c r="O26" s="16"/>
      <c r="P26" s="16"/>
      <c r="Q26" s="16"/>
    </row>
    <row r="27" s="10" customFormat="1" ht="41" spans="1:17">
      <c r="A27" s="16"/>
      <c r="B27" s="17" t="s">
        <v>7</v>
      </c>
      <c r="C27" s="18"/>
      <c r="D27" s="19" t="s">
        <v>74</v>
      </c>
      <c r="E27" s="19" t="s">
        <v>75</v>
      </c>
      <c r="F27" s="28" t="s">
        <v>86</v>
      </c>
      <c r="G27" s="16">
        <v>2</v>
      </c>
      <c r="H27" s="21">
        <v>46156</v>
      </c>
      <c r="I27" s="21"/>
      <c r="J27" s="26"/>
      <c r="K27" s="23">
        <v>46213</v>
      </c>
      <c r="L27" s="16" t="s">
        <v>1</v>
      </c>
      <c r="M27" s="16">
        <v>3</v>
      </c>
      <c r="N27" s="16"/>
      <c r="O27" s="16"/>
      <c r="P27" s="16"/>
      <c r="Q27" s="16"/>
    </row>
    <row r="28" s="10" customFormat="1" ht="21" hidden="1" spans="1:17">
      <c r="A28" s="16"/>
      <c r="B28" s="17" t="s">
        <v>7</v>
      </c>
      <c r="C28" s="18"/>
      <c r="D28" s="19" t="s">
        <v>68</v>
      </c>
      <c r="E28" s="19" t="s">
        <v>87</v>
      </c>
      <c r="F28" s="20" t="s">
        <v>45</v>
      </c>
      <c r="G28" s="16">
        <v>1</v>
      </c>
      <c r="H28" s="21">
        <v>46157</v>
      </c>
      <c r="I28" s="21"/>
      <c r="J28" s="22">
        <v>46168</v>
      </c>
      <c r="K28" s="25">
        <v>46195</v>
      </c>
      <c r="L28" s="16" t="s">
        <v>0</v>
      </c>
      <c r="M28" s="16">
        <v>2</v>
      </c>
      <c r="N28" s="16" t="s">
        <v>88</v>
      </c>
      <c r="O28" s="16"/>
      <c r="P28" s="16"/>
      <c r="Q28" s="16"/>
    </row>
    <row r="29" s="10" customFormat="1" ht="21" hidden="1" spans="1:17">
      <c r="A29" s="16"/>
      <c r="B29" s="17" t="s">
        <v>7</v>
      </c>
      <c r="C29" s="18"/>
      <c r="D29" s="19" t="s">
        <v>89</v>
      </c>
      <c r="E29" s="19" t="s">
        <v>90</v>
      </c>
      <c r="F29" s="20" t="s">
        <v>91</v>
      </c>
      <c r="G29" s="16">
        <v>1</v>
      </c>
      <c r="H29" s="21">
        <v>46157</v>
      </c>
      <c r="I29" s="21"/>
      <c r="J29" s="23">
        <v>46171</v>
      </c>
      <c r="K29" s="27">
        <v>46188</v>
      </c>
      <c r="L29" s="16" t="s">
        <v>2</v>
      </c>
      <c r="M29" s="16">
        <v>2</v>
      </c>
      <c r="N29" s="16" t="s">
        <v>88</v>
      </c>
      <c r="O29" s="16"/>
      <c r="P29" s="16"/>
      <c r="Q29" s="16"/>
    </row>
    <row r="30" s="10" customFormat="1" ht="21" hidden="1" spans="1:17">
      <c r="A30" s="16"/>
      <c r="B30" s="17" t="s">
        <v>7</v>
      </c>
      <c r="C30" s="18"/>
      <c r="D30" s="19" t="s">
        <v>89</v>
      </c>
      <c r="E30" s="19" t="s">
        <v>90</v>
      </c>
      <c r="F30" s="20" t="s">
        <v>91</v>
      </c>
      <c r="G30" s="16">
        <v>1</v>
      </c>
      <c r="H30" s="21">
        <v>46157</v>
      </c>
      <c r="I30" s="21"/>
      <c r="J30" s="23">
        <v>46171</v>
      </c>
      <c r="K30" s="27">
        <v>46188</v>
      </c>
      <c r="L30" s="16" t="s">
        <v>2</v>
      </c>
      <c r="M30" s="16">
        <v>2</v>
      </c>
      <c r="N30" s="16" t="s">
        <v>88</v>
      </c>
      <c r="O30" s="16"/>
      <c r="P30" s="16"/>
      <c r="Q30" s="16"/>
    </row>
    <row r="31" s="10" customFormat="1" ht="21" hidden="1" spans="1:17">
      <c r="A31" s="16"/>
      <c r="B31" s="17" t="s">
        <v>10</v>
      </c>
      <c r="C31" s="18"/>
      <c r="D31" s="19" t="s">
        <v>92</v>
      </c>
      <c r="E31" s="19" t="s">
        <v>93</v>
      </c>
      <c r="F31" s="20" t="s">
        <v>61</v>
      </c>
      <c r="G31" s="16">
        <v>3</v>
      </c>
      <c r="H31" s="21">
        <v>46157</v>
      </c>
      <c r="I31" s="21"/>
      <c r="J31" s="23">
        <v>46171</v>
      </c>
      <c r="K31" s="25">
        <v>46198</v>
      </c>
      <c r="L31" s="16" t="s">
        <v>2</v>
      </c>
      <c r="M31" s="16">
        <v>0.4</v>
      </c>
      <c r="N31" s="16" t="s">
        <v>88</v>
      </c>
      <c r="O31" s="16"/>
      <c r="P31" s="16"/>
      <c r="Q31" s="16"/>
    </row>
    <row r="32" s="10" customFormat="1" ht="21" hidden="1" spans="1:17">
      <c r="A32" s="16"/>
      <c r="B32" s="17" t="s">
        <v>7</v>
      </c>
      <c r="C32" s="18"/>
      <c r="D32" s="19" t="s">
        <v>92</v>
      </c>
      <c r="E32" s="19" t="s">
        <v>94</v>
      </c>
      <c r="F32" s="20" t="s">
        <v>91</v>
      </c>
      <c r="G32" s="16">
        <v>1</v>
      </c>
      <c r="H32" s="21">
        <v>46160</v>
      </c>
      <c r="I32" s="21"/>
      <c r="J32" s="23">
        <v>46172</v>
      </c>
      <c r="K32" s="25">
        <v>46198</v>
      </c>
      <c r="L32" s="16" t="s">
        <v>0</v>
      </c>
      <c r="M32" s="16">
        <v>2</v>
      </c>
      <c r="N32" s="16" t="s">
        <v>95</v>
      </c>
      <c r="O32" s="16"/>
      <c r="P32" s="16"/>
      <c r="Q32" s="16"/>
    </row>
    <row r="33" s="10" customFormat="1" ht="21" hidden="1" spans="1:17">
      <c r="A33" s="16"/>
      <c r="B33" s="17" t="s">
        <v>7</v>
      </c>
      <c r="C33" s="18"/>
      <c r="D33" s="19" t="s">
        <v>92</v>
      </c>
      <c r="E33" s="19" t="s">
        <v>94</v>
      </c>
      <c r="F33" s="20" t="s">
        <v>96</v>
      </c>
      <c r="G33" s="16">
        <v>1</v>
      </c>
      <c r="H33" s="21">
        <v>46160</v>
      </c>
      <c r="I33" s="21"/>
      <c r="J33" s="23">
        <v>46171</v>
      </c>
      <c r="K33" s="25">
        <v>46198</v>
      </c>
      <c r="L33" s="16" t="s">
        <v>0</v>
      </c>
      <c r="M33" s="16">
        <v>2</v>
      </c>
      <c r="N33" s="16"/>
      <c r="O33" s="16"/>
      <c r="P33" s="16"/>
      <c r="Q33" s="16"/>
    </row>
    <row r="34" s="10" customFormat="1" ht="21" hidden="1" spans="1:17">
      <c r="A34" s="16"/>
      <c r="B34" s="17" t="s">
        <v>10</v>
      </c>
      <c r="C34" s="18"/>
      <c r="D34" s="19" t="s">
        <v>97</v>
      </c>
      <c r="E34" s="19" t="s">
        <v>98</v>
      </c>
      <c r="F34" s="20" t="s">
        <v>47</v>
      </c>
      <c r="G34" s="16">
        <v>2</v>
      </c>
      <c r="H34" s="21">
        <v>46160</v>
      </c>
      <c r="I34" s="21"/>
      <c r="J34" s="23">
        <v>46171</v>
      </c>
      <c r="K34" s="25">
        <v>46193</v>
      </c>
      <c r="L34" s="16" t="s">
        <v>2</v>
      </c>
      <c r="M34" s="16">
        <v>0.3</v>
      </c>
      <c r="N34" s="16" t="s">
        <v>88</v>
      </c>
      <c r="O34" s="16"/>
      <c r="P34" s="16"/>
      <c r="Q34" s="16"/>
    </row>
    <row r="35" s="10" customFormat="1" ht="21" spans="1:17">
      <c r="A35" s="16"/>
      <c r="B35" s="17" t="s">
        <v>11</v>
      </c>
      <c r="C35" s="18"/>
      <c r="D35" s="19" t="s">
        <v>99</v>
      </c>
      <c r="E35" s="19" t="s">
        <v>100</v>
      </c>
      <c r="F35" s="20" t="s">
        <v>101</v>
      </c>
      <c r="G35" s="16">
        <v>1</v>
      </c>
      <c r="H35" s="21">
        <v>46161</v>
      </c>
      <c r="I35" s="21"/>
      <c r="J35" s="26"/>
      <c r="K35" s="29">
        <v>46233</v>
      </c>
      <c r="L35" s="16" t="s">
        <v>0</v>
      </c>
      <c r="M35" s="16">
        <v>1.5</v>
      </c>
      <c r="N35" s="16" t="s">
        <v>102</v>
      </c>
      <c r="O35" s="16"/>
      <c r="P35" s="16"/>
      <c r="Q35" s="16"/>
    </row>
    <row r="36" s="10" customFormat="1" ht="21" spans="1:17">
      <c r="A36" s="16"/>
      <c r="B36" s="17" t="s">
        <v>11</v>
      </c>
      <c r="C36" s="18"/>
      <c r="D36" s="19" t="s">
        <v>99</v>
      </c>
      <c r="E36" s="19" t="s">
        <v>100</v>
      </c>
      <c r="F36" s="20" t="s">
        <v>103</v>
      </c>
      <c r="G36" s="16">
        <v>1</v>
      </c>
      <c r="H36" s="21">
        <v>46161</v>
      </c>
      <c r="I36" s="21"/>
      <c r="J36" s="26"/>
      <c r="K36" s="29">
        <v>46233</v>
      </c>
      <c r="L36" s="16" t="s">
        <v>0</v>
      </c>
      <c r="M36" s="16">
        <v>1.5</v>
      </c>
      <c r="N36" s="16"/>
      <c r="O36" s="16"/>
      <c r="P36" s="16"/>
      <c r="Q36" s="16"/>
    </row>
    <row r="37" s="10" customFormat="1" ht="21" hidden="1" spans="1:17">
      <c r="A37" s="16"/>
      <c r="B37" s="17" t="s">
        <v>13</v>
      </c>
      <c r="C37" s="18"/>
      <c r="D37" s="19" t="s">
        <v>99</v>
      </c>
      <c r="E37" s="19" t="s">
        <v>100</v>
      </c>
      <c r="F37" s="20" t="s">
        <v>104</v>
      </c>
      <c r="G37" s="16">
        <v>9</v>
      </c>
      <c r="H37" s="21">
        <v>46161</v>
      </c>
      <c r="I37" s="21"/>
      <c r="J37" s="25">
        <v>46184</v>
      </c>
      <c r="K37" s="25">
        <v>46203</v>
      </c>
      <c r="L37" s="16" t="s">
        <v>0</v>
      </c>
      <c r="M37" s="16">
        <v>2</v>
      </c>
      <c r="N37" s="16" t="s">
        <v>102</v>
      </c>
      <c r="O37" s="16"/>
      <c r="P37" s="16"/>
      <c r="Q37" s="16"/>
    </row>
    <row r="38" s="10" customFormat="1" ht="21" hidden="1" spans="1:17">
      <c r="A38" s="16"/>
      <c r="B38" s="17" t="s">
        <v>15</v>
      </c>
      <c r="C38" s="18"/>
      <c r="D38" s="19" t="s">
        <v>99</v>
      </c>
      <c r="E38" s="19" t="s">
        <v>100</v>
      </c>
      <c r="F38" s="20" t="s">
        <v>105</v>
      </c>
      <c r="G38" s="16">
        <v>8</v>
      </c>
      <c r="H38" s="21">
        <v>46161</v>
      </c>
      <c r="I38" s="21"/>
      <c r="J38" s="22">
        <v>46163</v>
      </c>
      <c r="K38" s="23">
        <v>46181</v>
      </c>
      <c r="L38" s="16" t="s">
        <v>3</v>
      </c>
      <c r="M38" s="16">
        <v>1</v>
      </c>
      <c r="N38" s="16" t="s">
        <v>102</v>
      </c>
      <c r="O38" s="16"/>
      <c r="P38" s="16"/>
      <c r="Q38" s="16"/>
    </row>
    <row r="39" s="10" customFormat="1" ht="21" hidden="1" spans="1:17">
      <c r="A39" s="16"/>
      <c r="B39" s="17" t="s">
        <v>15</v>
      </c>
      <c r="C39" s="18"/>
      <c r="D39" s="19" t="s">
        <v>99</v>
      </c>
      <c r="E39" s="19" t="s">
        <v>100</v>
      </c>
      <c r="F39" s="20" t="s">
        <v>106</v>
      </c>
      <c r="G39" s="16">
        <v>10</v>
      </c>
      <c r="H39" s="21">
        <v>46161</v>
      </c>
      <c r="I39" s="21"/>
      <c r="J39" s="22">
        <v>46163</v>
      </c>
      <c r="K39" s="23">
        <v>46181</v>
      </c>
      <c r="L39" s="16" t="s">
        <v>3</v>
      </c>
      <c r="M39" s="16">
        <v>1</v>
      </c>
      <c r="N39" s="16" t="s">
        <v>102</v>
      </c>
      <c r="O39" s="16"/>
      <c r="P39" s="16"/>
      <c r="Q39" s="16"/>
    </row>
    <row r="40" s="10" customFormat="1" ht="21" hidden="1" spans="1:17">
      <c r="A40" s="16"/>
      <c r="B40" s="17" t="s">
        <v>7</v>
      </c>
      <c r="C40" s="18"/>
      <c r="D40" s="19" t="s">
        <v>99</v>
      </c>
      <c r="E40" s="19" t="s">
        <v>100</v>
      </c>
      <c r="F40" s="20" t="s">
        <v>45</v>
      </c>
      <c r="G40" s="16">
        <v>1</v>
      </c>
      <c r="H40" s="21">
        <v>46162</v>
      </c>
      <c r="I40" s="21"/>
      <c r="J40" s="22">
        <v>46169</v>
      </c>
      <c r="K40" s="25">
        <v>46193</v>
      </c>
      <c r="L40" s="16" t="s">
        <v>1</v>
      </c>
      <c r="M40" s="16">
        <v>2</v>
      </c>
      <c r="N40" s="16" t="s">
        <v>102</v>
      </c>
      <c r="O40" s="16"/>
      <c r="P40" s="16"/>
      <c r="Q40" s="16"/>
    </row>
    <row r="41" s="10" customFormat="1" ht="21" hidden="1" spans="1:17">
      <c r="A41" s="16"/>
      <c r="B41" s="17" t="s">
        <v>7</v>
      </c>
      <c r="C41" s="18"/>
      <c r="D41" s="19" t="s">
        <v>99</v>
      </c>
      <c r="E41" s="19" t="s">
        <v>100</v>
      </c>
      <c r="F41" s="20" t="s">
        <v>45</v>
      </c>
      <c r="G41" s="16">
        <v>1</v>
      </c>
      <c r="H41" s="21">
        <v>46162</v>
      </c>
      <c r="I41" s="21"/>
      <c r="J41" s="23">
        <v>46174</v>
      </c>
      <c r="K41" s="25">
        <v>46203</v>
      </c>
      <c r="L41" s="16" t="s">
        <v>2</v>
      </c>
      <c r="M41" s="16">
        <v>2</v>
      </c>
      <c r="N41" s="16" t="s">
        <v>88</v>
      </c>
      <c r="O41" s="16"/>
      <c r="P41" s="16"/>
      <c r="Q41" s="16"/>
    </row>
    <row r="42" s="10" customFormat="1" ht="21" hidden="1" spans="1:17">
      <c r="A42" s="16"/>
      <c r="B42" s="17" t="s">
        <v>7</v>
      </c>
      <c r="C42" s="18"/>
      <c r="D42" s="19" t="s">
        <v>99</v>
      </c>
      <c r="E42" s="19" t="s">
        <v>100</v>
      </c>
      <c r="F42" s="20" t="s">
        <v>107</v>
      </c>
      <c r="G42" s="16">
        <v>1</v>
      </c>
      <c r="H42" s="21">
        <v>46163</v>
      </c>
      <c r="I42" s="21"/>
      <c r="J42" s="25">
        <v>46181</v>
      </c>
      <c r="K42" s="27">
        <v>46185</v>
      </c>
      <c r="L42" s="16" t="s">
        <v>1</v>
      </c>
      <c r="M42" s="16">
        <v>4</v>
      </c>
      <c r="N42" s="16" t="s">
        <v>77</v>
      </c>
      <c r="O42" s="16"/>
      <c r="P42" s="16"/>
      <c r="Q42" s="16"/>
    </row>
    <row r="43" s="10" customFormat="1" ht="21" hidden="1" spans="1:17">
      <c r="A43" s="16"/>
      <c r="B43" s="17" t="s">
        <v>7</v>
      </c>
      <c r="C43" s="18"/>
      <c r="D43" s="19" t="s">
        <v>99</v>
      </c>
      <c r="E43" s="19" t="s">
        <v>100</v>
      </c>
      <c r="F43" s="20" t="s">
        <v>96</v>
      </c>
      <c r="G43" s="16">
        <v>3</v>
      </c>
      <c r="H43" s="21">
        <v>46163</v>
      </c>
      <c r="I43" s="21"/>
      <c r="J43" s="27">
        <v>46178</v>
      </c>
      <c r="K43" s="27">
        <v>46208</v>
      </c>
      <c r="L43" s="16" t="s">
        <v>3</v>
      </c>
      <c r="M43" s="16">
        <v>2</v>
      </c>
      <c r="N43" s="16" t="s">
        <v>88</v>
      </c>
      <c r="O43" s="16"/>
      <c r="P43" s="16"/>
      <c r="Q43" s="16"/>
    </row>
    <row r="44" s="10" customFormat="1" ht="21" hidden="1" spans="1:17">
      <c r="A44" s="16"/>
      <c r="B44" s="17" t="s">
        <v>7</v>
      </c>
      <c r="C44" s="18"/>
      <c r="D44" s="19" t="s">
        <v>99</v>
      </c>
      <c r="E44" s="19" t="s">
        <v>100</v>
      </c>
      <c r="F44" s="20" t="s">
        <v>96</v>
      </c>
      <c r="G44" s="16">
        <v>2</v>
      </c>
      <c r="H44" s="21">
        <v>46163</v>
      </c>
      <c r="I44" s="21"/>
      <c r="J44" s="27">
        <v>46178</v>
      </c>
      <c r="K44" s="27">
        <v>46208</v>
      </c>
      <c r="L44" s="16" t="s">
        <v>3</v>
      </c>
      <c r="M44" s="16">
        <v>2</v>
      </c>
      <c r="N44" s="16"/>
      <c r="O44" s="16"/>
      <c r="P44" s="16"/>
      <c r="Q44" s="16"/>
    </row>
    <row r="45" s="10" customFormat="1" ht="21" hidden="1" spans="1:17">
      <c r="A45" s="16"/>
      <c r="B45" s="17" t="s">
        <v>7</v>
      </c>
      <c r="C45" s="18"/>
      <c r="D45" s="19" t="s">
        <v>108</v>
      </c>
      <c r="E45" s="19" t="s">
        <v>109</v>
      </c>
      <c r="F45" s="20" t="s">
        <v>96</v>
      </c>
      <c r="G45" s="16">
        <v>1</v>
      </c>
      <c r="H45" s="21">
        <v>46163</v>
      </c>
      <c r="I45" s="21"/>
      <c r="J45" s="26">
        <v>46197</v>
      </c>
      <c r="K45" s="27">
        <v>46208</v>
      </c>
      <c r="L45" s="16" t="s">
        <v>0</v>
      </c>
      <c r="M45" s="16">
        <v>3</v>
      </c>
      <c r="N45" s="16"/>
      <c r="O45" s="16"/>
      <c r="P45" s="16"/>
      <c r="Q45" s="16"/>
    </row>
    <row r="46" s="10" customFormat="1" ht="21" hidden="1" spans="1:17">
      <c r="A46" s="16"/>
      <c r="B46" s="17" t="s">
        <v>10</v>
      </c>
      <c r="C46" s="18"/>
      <c r="D46" s="19" t="s">
        <v>110</v>
      </c>
      <c r="E46" s="19" t="s">
        <v>111</v>
      </c>
      <c r="F46" s="20" t="s">
        <v>104</v>
      </c>
      <c r="G46" s="16">
        <v>2</v>
      </c>
      <c r="H46" s="21">
        <v>46167</v>
      </c>
      <c r="I46" s="21"/>
      <c r="J46" s="23">
        <v>46175</v>
      </c>
      <c r="K46" s="27">
        <v>46188</v>
      </c>
      <c r="L46" s="16" t="s">
        <v>1</v>
      </c>
      <c r="M46" s="16">
        <v>0.5</v>
      </c>
      <c r="N46" s="16"/>
      <c r="O46" s="16"/>
      <c r="P46" s="16"/>
      <c r="Q46" s="16"/>
    </row>
    <row r="47" s="10" customFormat="1" ht="21" hidden="1" spans="1:17">
      <c r="A47" s="16"/>
      <c r="B47" s="17" t="s">
        <v>9</v>
      </c>
      <c r="C47" s="18"/>
      <c r="D47" s="19" t="s">
        <v>110</v>
      </c>
      <c r="E47" s="19" t="s">
        <v>111</v>
      </c>
      <c r="F47" s="20" t="s">
        <v>104</v>
      </c>
      <c r="G47" s="16">
        <v>5</v>
      </c>
      <c r="H47" s="21">
        <v>46167</v>
      </c>
      <c r="I47" s="21"/>
      <c r="J47" s="23">
        <v>46175</v>
      </c>
      <c r="K47" s="27">
        <v>46188</v>
      </c>
      <c r="L47" s="16" t="s">
        <v>1</v>
      </c>
      <c r="M47" s="16">
        <v>0.5</v>
      </c>
      <c r="N47" s="16"/>
      <c r="O47" s="16"/>
      <c r="P47" s="16"/>
      <c r="Q47" s="16"/>
    </row>
    <row r="48" s="10" customFormat="1" ht="21" hidden="1" spans="1:17">
      <c r="A48" s="16"/>
      <c r="B48" s="17" t="s">
        <v>9</v>
      </c>
      <c r="C48" s="18"/>
      <c r="D48" s="19" t="s">
        <v>112</v>
      </c>
      <c r="E48" s="19" t="s">
        <v>113</v>
      </c>
      <c r="F48" s="20" t="s">
        <v>104</v>
      </c>
      <c r="G48" s="16">
        <v>5</v>
      </c>
      <c r="H48" s="21">
        <v>46167</v>
      </c>
      <c r="I48" s="21"/>
      <c r="J48" s="23">
        <v>46175</v>
      </c>
      <c r="K48" s="27">
        <v>46188</v>
      </c>
      <c r="L48" s="16" t="s">
        <v>1</v>
      </c>
      <c r="M48" s="16">
        <v>0.5</v>
      </c>
      <c r="N48" s="16"/>
      <c r="O48" s="16"/>
      <c r="P48" s="16"/>
      <c r="Q48" s="16"/>
    </row>
    <row r="49" s="10" customFormat="1" ht="21" hidden="1" spans="1:17">
      <c r="A49" s="16"/>
      <c r="B49" s="17" t="s">
        <v>10</v>
      </c>
      <c r="C49" s="18"/>
      <c r="D49" s="19" t="s">
        <v>112</v>
      </c>
      <c r="E49" s="19" t="s">
        <v>113</v>
      </c>
      <c r="F49" s="20" t="s">
        <v>104</v>
      </c>
      <c r="G49" s="16">
        <v>2</v>
      </c>
      <c r="H49" s="21">
        <v>46167</v>
      </c>
      <c r="I49" s="21"/>
      <c r="J49" s="23">
        <v>46175</v>
      </c>
      <c r="K49" s="27">
        <v>46188</v>
      </c>
      <c r="L49" s="16" t="s">
        <v>1</v>
      </c>
      <c r="M49" s="16">
        <v>0.5</v>
      </c>
      <c r="N49" s="16"/>
      <c r="O49" s="16"/>
      <c r="P49" s="16"/>
      <c r="Q49" s="16"/>
    </row>
    <row r="50" s="10" customFormat="1" ht="21" hidden="1" spans="1:17">
      <c r="A50" s="16"/>
      <c r="B50" s="17" t="s">
        <v>7</v>
      </c>
      <c r="C50" s="18"/>
      <c r="D50" s="19" t="s">
        <v>114</v>
      </c>
      <c r="E50" s="19" t="s">
        <v>115</v>
      </c>
      <c r="F50" s="20" t="s">
        <v>116</v>
      </c>
      <c r="G50" s="16">
        <v>1</v>
      </c>
      <c r="H50" s="21">
        <v>46167</v>
      </c>
      <c r="I50" s="21"/>
      <c r="J50" s="26">
        <v>46197</v>
      </c>
      <c r="K50" s="27">
        <v>46208</v>
      </c>
      <c r="L50" s="16" t="s">
        <v>4</v>
      </c>
      <c r="M50" s="16">
        <v>1.5</v>
      </c>
      <c r="N50" s="16" t="s">
        <v>102</v>
      </c>
      <c r="O50" s="16"/>
      <c r="P50" s="16"/>
      <c r="Q50" s="16"/>
    </row>
    <row r="51" s="10" customFormat="1" ht="21" hidden="1" spans="1:17">
      <c r="A51" s="16"/>
      <c r="B51" s="17" t="s">
        <v>7</v>
      </c>
      <c r="C51" s="18"/>
      <c r="D51" s="19" t="s">
        <v>114</v>
      </c>
      <c r="E51" s="19" t="s">
        <v>115</v>
      </c>
      <c r="F51" s="20" t="s">
        <v>117</v>
      </c>
      <c r="G51" s="16">
        <v>1</v>
      </c>
      <c r="H51" s="21">
        <v>46167</v>
      </c>
      <c r="I51" s="21"/>
      <c r="J51" s="26">
        <v>46197</v>
      </c>
      <c r="K51" s="27">
        <v>46208</v>
      </c>
      <c r="L51" s="16" t="s">
        <v>4</v>
      </c>
      <c r="M51" s="16">
        <v>2</v>
      </c>
      <c r="N51" s="16"/>
      <c r="O51" s="16"/>
      <c r="P51" s="16"/>
      <c r="Q51" s="16"/>
    </row>
    <row r="52" s="10" customFormat="1" ht="21" hidden="1" spans="1:17">
      <c r="A52" s="16"/>
      <c r="B52" s="17" t="s">
        <v>9</v>
      </c>
      <c r="C52" s="18"/>
      <c r="D52" s="19" t="s">
        <v>118</v>
      </c>
      <c r="E52" s="19" t="s">
        <v>119</v>
      </c>
      <c r="F52" s="20" t="s">
        <v>61</v>
      </c>
      <c r="G52" s="16">
        <v>4</v>
      </c>
      <c r="H52" s="21">
        <v>46172</v>
      </c>
      <c r="I52" s="21"/>
      <c r="J52" s="23">
        <v>46175</v>
      </c>
      <c r="K52" s="23">
        <v>46183</v>
      </c>
      <c r="L52" s="16" t="s">
        <v>1</v>
      </c>
      <c r="M52" s="16">
        <v>1</v>
      </c>
      <c r="N52" s="16"/>
      <c r="O52" s="16"/>
      <c r="P52" s="16"/>
      <c r="Q52" s="16"/>
    </row>
    <row r="53" s="10" customFormat="1" ht="21" hidden="1" spans="1:17">
      <c r="A53" s="16"/>
      <c r="B53" s="17" t="s">
        <v>16</v>
      </c>
      <c r="C53" s="18"/>
      <c r="D53" s="19" t="s">
        <v>118</v>
      </c>
      <c r="E53" s="19" t="s">
        <v>119</v>
      </c>
      <c r="F53" s="20" t="s">
        <v>47</v>
      </c>
      <c r="G53" s="16">
        <v>3</v>
      </c>
      <c r="H53" s="21">
        <v>46172</v>
      </c>
      <c r="I53" s="21"/>
      <c r="J53" s="23">
        <v>46174</v>
      </c>
      <c r="K53" s="23">
        <v>46183</v>
      </c>
      <c r="L53" s="16" t="s">
        <v>0</v>
      </c>
      <c r="M53" s="16">
        <v>1</v>
      </c>
      <c r="N53" s="16"/>
      <c r="O53" s="16"/>
      <c r="P53" s="16"/>
      <c r="Q53" s="16"/>
    </row>
    <row r="54" s="10" customFormat="1" ht="21" hidden="1" spans="1:17">
      <c r="A54" s="16"/>
      <c r="B54" s="17" t="s">
        <v>7</v>
      </c>
      <c r="C54" s="18"/>
      <c r="D54" s="19" t="s">
        <v>120</v>
      </c>
      <c r="E54" s="19" t="s">
        <v>121</v>
      </c>
      <c r="F54" s="20" t="s">
        <v>45</v>
      </c>
      <c r="G54" s="16">
        <v>1</v>
      </c>
      <c r="H54" s="21">
        <v>46168</v>
      </c>
      <c r="I54" s="21"/>
      <c r="J54" s="23">
        <v>46174</v>
      </c>
      <c r="K54" s="25">
        <v>46195</v>
      </c>
      <c r="L54" s="16" t="s">
        <v>3</v>
      </c>
      <c r="M54" s="16">
        <v>2</v>
      </c>
      <c r="N54" s="16"/>
      <c r="O54" s="16"/>
      <c r="P54" s="16"/>
      <c r="Q54" s="16"/>
    </row>
    <row r="55" s="10" customFormat="1" ht="21" hidden="1" spans="1:17">
      <c r="A55" s="16"/>
      <c r="B55" s="17" t="s">
        <v>10</v>
      </c>
      <c r="C55" s="18"/>
      <c r="D55" s="19" t="s">
        <v>122</v>
      </c>
      <c r="E55" s="19" t="s">
        <v>123</v>
      </c>
      <c r="F55" s="20" t="s">
        <v>67</v>
      </c>
      <c r="G55" s="16">
        <v>1</v>
      </c>
      <c r="H55" s="21">
        <v>46174</v>
      </c>
      <c r="I55" s="21"/>
      <c r="J55" s="23">
        <v>46174</v>
      </c>
      <c r="K55" s="23">
        <v>46183</v>
      </c>
      <c r="L55" s="16" t="s">
        <v>2</v>
      </c>
      <c r="M55" s="16">
        <v>0.2</v>
      </c>
      <c r="N55" s="16"/>
      <c r="O55" s="16"/>
      <c r="P55" s="16"/>
      <c r="Q55" s="16"/>
    </row>
    <row r="56" s="10" customFormat="1" ht="21" hidden="1" spans="1:17">
      <c r="A56" s="16"/>
      <c r="B56" s="17" t="s">
        <v>9</v>
      </c>
      <c r="C56" s="18"/>
      <c r="D56" s="19" t="s">
        <v>124</v>
      </c>
      <c r="E56" s="19" t="s">
        <v>125</v>
      </c>
      <c r="F56" s="20" t="s">
        <v>105</v>
      </c>
      <c r="G56" s="16">
        <v>7</v>
      </c>
      <c r="H56" s="21">
        <v>46175</v>
      </c>
      <c r="I56" s="21"/>
      <c r="J56" s="25">
        <v>46184</v>
      </c>
      <c r="K56" s="25">
        <v>46190</v>
      </c>
      <c r="L56" s="16" t="s">
        <v>2</v>
      </c>
      <c r="M56" s="16">
        <v>1</v>
      </c>
      <c r="N56" s="16"/>
      <c r="O56" s="16"/>
      <c r="P56" s="16"/>
      <c r="Q56" s="16" t="s">
        <v>126</v>
      </c>
    </row>
    <row r="57" s="10" customFormat="1" ht="21" spans="1:17">
      <c r="A57" s="16"/>
      <c r="B57" s="17" t="s">
        <v>7</v>
      </c>
      <c r="C57" s="18"/>
      <c r="D57" s="19" t="s">
        <v>127</v>
      </c>
      <c r="E57" s="19" t="s">
        <v>128</v>
      </c>
      <c r="F57" s="20" t="s">
        <v>129</v>
      </c>
      <c r="G57" s="16">
        <v>2</v>
      </c>
      <c r="H57" s="21">
        <v>46170</v>
      </c>
      <c r="I57" s="21"/>
      <c r="J57" s="26"/>
      <c r="K57" s="22">
        <v>46223</v>
      </c>
      <c r="L57" s="16" t="s">
        <v>2</v>
      </c>
      <c r="M57" s="16">
        <v>3.5</v>
      </c>
      <c r="N57" s="16"/>
      <c r="O57" s="16"/>
      <c r="P57" s="16"/>
      <c r="Q57" s="16"/>
    </row>
    <row r="58" s="10" customFormat="1" ht="21" hidden="1" spans="1:17">
      <c r="A58" s="16"/>
      <c r="B58" s="17" t="s">
        <v>9</v>
      </c>
      <c r="C58" s="18"/>
      <c r="D58" s="19" t="s">
        <v>130</v>
      </c>
      <c r="E58" s="19" t="s">
        <v>131</v>
      </c>
      <c r="F58" s="20" t="s">
        <v>47</v>
      </c>
      <c r="G58" s="16">
        <v>2</v>
      </c>
      <c r="H58" s="21">
        <v>46175</v>
      </c>
      <c r="I58" s="21"/>
      <c r="J58" s="27">
        <v>46203</v>
      </c>
      <c r="K58" s="25">
        <v>46203</v>
      </c>
      <c r="L58" s="16" t="s">
        <v>2</v>
      </c>
      <c r="M58" s="16">
        <v>0.3</v>
      </c>
      <c r="N58" s="16"/>
      <c r="O58" s="16"/>
      <c r="P58" s="16"/>
      <c r="Q58" s="16"/>
    </row>
    <row r="59" s="10" customFormat="1" ht="21" hidden="1" spans="1:17">
      <c r="A59" s="16"/>
      <c r="B59" s="17" t="s">
        <v>7</v>
      </c>
      <c r="C59" s="18"/>
      <c r="D59" s="19" t="s">
        <v>132</v>
      </c>
      <c r="E59" s="19" t="s">
        <v>133</v>
      </c>
      <c r="F59" s="20" t="s">
        <v>134</v>
      </c>
      <c r="G59" s="16">
        <v>1</v>
      </c>
      <c r="H59" s="21">
        <v>46175</v>
      </c>
      <c r="I59" s="21"/>
      <c r="J59" s="27">
        <v>46180</v>
      </c>
      <c r="K59" s="25">
        <v>46204</v>
      </c>
      <c r="L59" s="16" t="s">
        <v>2</v>
      </c>
      <c r="M59" s="16">
        <v>2</v>
      </c>
      <c r="N59" s="16"/>
      <c r="O59" s="16"/>
      <c r="P59" s="16"/>
      <c r="Q59" s="16"/>
    </row>
    <row r="60" s="10" customFormat="1" ht="21" hidden="1" spans="1:17">
      <c r="A60" s="16"/>
      <c r="B60" s="17" t="s">
        <v>10</v>
      </c>
      <c r="C60" s="18"/>
      <c r="D60" s="19" t="s">
        <v>132</v>
      </c>
      <c r="E60" s="19" t="s">
        <v>135</v>
      </c>
      <c r="F60" s="20" t="s">
        <v>67</v>
      </c>
      <c r="G60" s="16">
        <v>1</v>
      </c>
      <c r="H60" s="21">
        <v>46175</v>
      </c>
      <c r="I60" s="21"/>
      <c r="J60" s="27">
        <v>46177</v>
      </c>
      <c r="K60" s="25">
        <v>46204</v>
      </c>
      <c r="L60" s="16" t="s">
        <v>2</v>
      </c>
      <c r="M60" s="16">
        <v>0.2</v>
      </c>
      <c r="N60" s="16"/>
      <c r="O60" s="16"/>
      <c r="P60" s="16"/>
      <c r="Q60" s="16"/>
    </row>
    <row r="61" s="10" customFormat="1" ht="21" hidden="1" spans="1:17">
      <c r="A61" s="16"/>
      <c r="B61" s="17" t="s">
        <v>9</v>
      </c>
      <c r="C61" s="18"/>
      <c r="D61" s="19" t="s">
        <v>132</v>
      </c>
      <c r="E61" s="19" t="s">
        <v>136</v>
      </c>
      <c r="F61" s="20" t="s">
        <v>61</v>
      </c>
      <c r="G61" s="16">
        <v>3</v>
      </c>
      <c r="H61" s="21">
        <v>46175</v>
      </c>
      <c r="I61" s="21"/>
      <c r="J61" s="27">
        <v>46177</v>
      </c>
      <c r="K61" s="25">
        <v>46204</v>
      </c>
      <c r="L61" s="16" t="s">
        <v>2</v>
      </c>
      <c r="M61" s="16">
        <v>0.4</v>
      </c>
      <c r="N61" s="16"/>
      <c r="O61" s="16"/>
      <c r="P61" s="16"/>
      <c r="Q61" s="16"/>
    </row>
    <row r="62" s="10" customFormat="1" ht="21" spans="1:17">
      <c r="A62" s="16"/>
      <c r="B62" s="17" t="s">
        <v>7</v>
      </c>
      <c r="C62" s="18"/>
      <c r="D62" s="19" t="s">
        <v>137</v>
      </c>
      <c r="E62" s="19" t="s">
        <v>138</v>
      </c>
      <c r="F62" s="20" t="s">
        <v>139</v>
      </c>
      <c r="G62" s="16">
        <v>1</v>
      </c>
      <c r="H62" s="21">
        <v>46176</v>
      </c>
      <c r="I62" s="21"/>
      <c r="J62" s="26"/>
      <c r="K62" s="22">
        <v>46218</v>
      </c>
      <c r="L62" s="16" t="s">
        <v>3</v>
      </c>
      <c r="M62" s="16">
        <v>4</v>
      </c>
      <c r="N62" s="16"/>
      <c r="O62" s="16"/>
      <c r="P62" s="16"/>
      <c r="Q62" s="16"/>
    </row>
    <row r="63" s="10" customFormat="1" ht="21" hidden="1" spans="1:17">
      <c r="A63" s="16"/>
      <c r="B63" s="17" t="s">
        <v>7</v>
      </c>
      <c r="C63" s="18"/>
      <c r="D63" s="10" t="s">
        <v>140</v>
      </c>
      <c r="E63" s="19" t="s">
        <v>141</v>
      </c>
      <c r="F63" s="20" t="s">
        <v>142</v>
      </c>
      <c r="G63" s="16">
        <v>1</v>
      </c>
      <c r="H63" s="21">
        <v>46176</v>
      </c>
      <c r="I63" s="21"/>
      <c r="J63" s="25">
        <v>46181</v>
      </c>
      <c r="K63" s="25">
        <v>46201</v>
      </c>
      <c r="L63" s="16" t="s">
        <v>2</v>
      </c>
      <c r="M63" s="16">
        <v>1</v>
      </c>
      <c r="N63" s="16"/>
      <c r="O63" s="16"/>
      <c r="P63" s="16"/>
      <c r="Q63" s="16"/>
    </row>
    <row r="64" s="10" customFormat="1" ht="21" spans="1:17">
      <c r="A64" s="16"/>
      <c r="B64" s="17" t="s">
        <v>7</v>
      </c>
      <c r="C64" s="18"/>
      <c r="D64" s="19" t="s">
        <v>143</v>
      </c>
      <c r="E64" s="19" t="s">
        <v>144</v>
      </c>
      <c r="F64" s="20" t="s">
        <v>145</v>
      </c>
      <c r="G64" s="16">
        <v>1</v>
      </c>
      <c r="H64" s="21">
        <v>46176</v>
      </c>
      <c r="I64" s="21"/>
      <c r="J64" s="26"/>
      <c r="K64" s="29">
        <v>46233</v>
      </c>
      <c r="L64" s="16" t="s">
        <v>3</v>
      </c>
      <c r="M64" s="16">
        <v>2.5</v>
      </c>
      <c r="N64" s="16"/>
      <c r="O64" s="16"/>
      <c r="P64" s="16"/>
      <c r="Q64" s="16" t="s">
        <v>146</v>
      </c>
    </row>
    <row r="65" s="10" customFormat="1" ht="21" spans="1:17">
      <c r="A65" s="16"/>
      <c r="B65" s="17" t="s">
        <v>7</v>
      </c>
      <c r="C65" s="18"/>
      <c r="D65" s="19" t="s">
        <v>143</v>
      </c>
      <c r="E65" s="19" t="s">
        <v>147</v>
      </c>
      <c r="F65" s="20" t="s">
        <v>145</v>
      </c>
      <c r="G65" s="16">
        <v>1</v>
      </c>
      <c r="H65" s="21">
        <v>46176</v>
      </c>
      <c r="I65" s="21"/>
      <c r="J65" s="26"/>
      <c r="K65" s="29">
        <v>46233</v>
      </c>
      <c r="L65" s="16" t="s">
        <v>3</v>
      </c>
      <c r="M65" s="16">
        <v>2.5</v>
      </c>
      <c r="N65" s="16"/>
      <c r="O65" s="16"/>
      <c r="P65" s="16"/>
      <c r="Q65" s="16" t="s">
        <v>148</v>
      </c>
    </row>
    <row r="66" s="10" customFormat="1" ht="21" spans="1:17">
      <c r="A66" s="16"/>
      <c r="B66" s="17" t="s">
        <v>7</v>
      </c>
      <c r="C66" s="18"/>
      <c r="D66" s="19" t="s">
        <v>143</v>
      </c>
      <c r="E66" s="19" t="s">
        <v>149</v>
      </c>
      <c r="F66" s="20" t="s">
        <v>145</v>
      </c>
      <c r="G66" s="16">
        <v>1</v>
      </c>
      <c r="H66" s="21">
        <v>46176</v>
      </c>
      <c r="I66" s="21"/>
      <c r="J66" s="26"/>
      <c r="K66" s="29">
        <v>46233</v>
      </c>
      <c r="L66" s="16" t="s">
        <v>0</v>
      </c>
      <c r="M66" s="16">
        <v>4</v>
      </c>
      <c r="N66" s="16"/>
      <c r="O66" s="16"/>
      <c r="P66" s="16"/>
      <c r="Q66" s="16" t="s">
        <v>150</v>
      </c>
    </row>
    <row r="67" s="10" customFormat="1" ht="21" hidden="1" spans="1:17">
      <c r="A67" s="16"/>
      <c r="B67" s="17" t="s">
        <v>7</v>
      </c>
      <c r="C67" s="18"/>
      <c r="D67" s="19" t="s">
        <v>151</v>
      </c>
      <c r="E67" s="19" t="s">
        <v>152</v>
      </c>
      <c r="F67" s="20" t="s">
        <v>134</v>
      </c>
      <c r="G67" s="16">
        <v>1</v>
      </c>
      <c r="H67" s="21">
        <v>46177</v>
      </c>
      <c r="I67" s="21"/>
      <c r="J67" s="25">
        <v>46188</v>
      </c>
      <c r="K67" s="23">
        <v>46213</v>
      </c>
      <c r="L67" s="16" t="s">
        <v>4</v>
      </c>
      <c r="M67" s="16">
        <v>2</v>
      </c>
      <c r="N67" s="16"/>
      <c r="O67" s="16"/>
      <c r="P67" s="16"/>
      <c r="Q67" s="16"/>
    </row>
    <row r="68" s="10" customFormat="1" ht="21" hidden="1" spans="1:17">
      <c r="A68" s="16"/>
      <c r="B68" s="17" t="s">
        <v>11</v>
      </c>
      <c r="C68" s="18"/>
      <c r="D68" s="19" t="s">
        <v>153</v>
      </c>
      <c r="E68" s="19" t="s">
        <v>154</v>
      </c>
      <c r="F68" s="20" t="s">
        <v>155</v>
      </c>
      <c r="G68" s="16">
        <v>15</v>
      </c>
      <c r="H68" s="21">
        <v>46178</v>
      </c>
      <c r="I68" s="21"/>
      <c r="J68" s="26">
        <v>46192</v>
      </c>
      <c r="K68" s="25">
        <v>46203</v>
      </c>
      <c r="L68" s="16" t="s">
        <v>3</v>
      </c>
      <c r="M68" s="16">
        <v>6</v>
      </c>
      <c r="N68" s="16"/>
      <c r="O68" s="16"/>
      <c r="P68" s="16"/>
      <c r="Q68" s="16"/>
    </row>
    <row r="69" s="10" customFormat="1" ht="41" spans="1:17">
      <c r="A69" s="16"/>
      <c r="B69" s="17" t="s">
        <v>11</v>
      </c>
      <c r="C69" s="18"/>
      <c r="D69" s="19" t="s">
        <v>156</v>
      </c>
      <c r="E69" s="19" t="s">
        <v>154</v>
      </c>
      <c r="F69" s="20" t="s">
        <v>157</v>
      </c>
      <c r="G69" s="16">
        <v>1</v>
      </c>
      <c r="H69" s="21">
        <v>46178</v>
      </c>
      <c r="I69" s="21"/>
      <c r="J69" s="26"/>
      <c r="K69" s="22">
        <v>46223</v>
      </c>
      <c r="L69" s="16" t="s">
        <v>2</v>
      </c>
      <c r="M69" s="16">
        <v>1.5</v>
      </c>
      <c r="N69" s="16"/>
      <c r="O69" s="16"/>
      <c r="P69" s="16"/>
      <c r="Q69" s="16"/>
    </row>
    <row r="70" s="10" customFormat="1" ht="41" spans="1:17">
      <c r="A70" s="16"/>
      <c r="B70" s="17" t="s">
        <v>11</v>
      </c>
      <c r="C70" s="18"/>
      <c r="D70" s="19" t="s">
        <v>156</v>
      </c>
      <c r="E70" s="19" t="s">
        <v>154</v>
      </c>
      <c r="F70" s="20" t="s">
        <v>158</v>
      </c>
      <c r="G70" s="16">
        <v>1</v>
      </c>
      <c r="H70" s="21">
        <v>46178</v>
      </c>
      <c r="I70" s="21"/>
      <c r="J70" s="26"/>
      <c r="K70" s="22">
        <v>46223</v>
      </c>
      <c r="L70" s="16" t="s">
        <v>2</v>
      </c>
      <c r="M70" s="16">
        <v>1.5</v>
      </c>
      <c r="N70" s="16"/>
      <c r="O70" s="16"/>
      <c r="P70" s="16"/>
      <c r="Q70" s="16"/>
    </row>
    <row r="71" s="10" customFormat="1" ht="21" spans="1:17">
      <c r="A71" s="16"/>
      <c r="B71" s="17" t="s">
        <v>11</v>
      </c>
      <c r="C71" s="18"/>
      <c r="D71" s="19" t="s">
        <v>156</v>
      </c>
      <c r="E71" s="19" t="s">
        <v>154</v>
      </c>
      <c r="F71" s="20" t="s">
        <v>159</v>
      </c>
      <c r="G71" s="16">
        <v>2</v>
      </c>
      <c r="H71" s="21">
        <v>46178</v>
      </c>
      <c r="I71" s="21"/>
      <c r="J71" s="26"/>
      <c r="K71" s="22">
        <v>46223</v>
      </c>
      <c r="L71" s="16" t="s">
        <v>0</v>
      </c>
      <c r="M71" s="16">
        <v>2.5</v>
      </c>
      <c r="N71" s="16"/>
      <c r="O71" s="16"/>
      <c r="P71" s="16"/>
      <c r="Q71" s="16"/>
    </row>
    <row r="72" s="10" customFormat="1" ht="41" hidden="1" spans="1:17">
      <c r="A72" s="16"/>
      <c r="B72" s="17" t="s">
        <v>12</v>
      </c>
      <c r="C72" s="18"/>
      <c r="D72" s="19" t="s">
        <v>124</v>
      </c>
      <c r="E72" s="19" t="s">
        <v>160</v>
      </c>
      <c r="F72" s="20" t="s">
        <v>161</v>
      </c>
      <c r="G72" s="16">
        <v>2</v>
      </c>
      <c r="H72" s="21">
        <v>46181</v>
      </c>
      <c r="I72" s="21"/>
      <c r="J72" s="25">
        <v>46184</v>
      </c>
      <c r="K72" s="25">
        <v>46193</v>
      </c>
      <c r="L72" s="16" t="s">
        <v>2</v>
      </c>
      <c r="M72" s="16">
        <v>2</v>
      </c>
      <c r="N72" s="16"/>
      <c r="O72" s="16"/>
      <c r="P72" s="16"/>
      <c r="Q72" s="16"/>
    </row>
    <row r="73" s="10" customFormat="1" ht="21" hidden="1" spans="1:17">
      <c r="A73" s="16"/>
      <c r="B73" s="17" t="s">
        <v>12</v>
      </c>
      <c r="C73" s="18"/>
      <c r="D73" s="19" t="s">
        <v>124</v>
      </c>
      <c r="E73" s="19" t="s">
        <v>162</v>
      </c>
      <c r="F73" s="20" t="s">
        <v>163</v>
      </c>
      <c r="G73" s="16">
        <v>1</v>
      </c>
      <c r="H73" s="21">
        <v>46181</v>
      </c>
      <c r="I73" s="21"/>
      <c r="J73" s="26">
        <v>46191</v>
      </c>
      <c r="K73" s="25">
        <v>46193</v>
      </c>
      <c r="L73" s="16" t="s">
        <v>0</v>
      </c>
      <c r="M73" s="16">
        <v>2</v>
      </c>
      <c r="N73" s="16"/>
      <c r="O73" s="16"/>
      <c r="P73" s="16"/>
      <c r="Q73" s="16"/>
    </row>
    <row r="74" s="10" customFormat="1" ht="21" hidden="1" spans="1:17">
      <c r="A74" s="16"/>
      <c r="B74" s="17" t="s">
        <v>12</v>
      </c>
      <c r="C74" s="18"/>
      <c r="D74" s="19" t="s">
        <v>124</v>
      </c>
      <c r="E74" s="19" t="s">
        <v>164</v>
      </c>
      <c r="F74" s="20" t="s">
        <v>165</v>
      </c>
      <c r="G74" s="16">
        <v>2</v>
      </c>
      <c r="H74" s="21">
        <v>46181</v>
      </c>
      <c r="I74" s="21"/>
      <c r="J74" s="25">
        <v>46190</v>
      </c>
      <c r="K74" s="25">
        <v>46193</v>
      </c>
      <c r="L74" s="16" t="s">
        <v>2</v>
      </c>
      <c r="M74" s="16">
        <v>1</v>
      </c>
      <c r="N74" s="16"/>
      <c r="O74" s="16"/>
      <c r="P74" s="16"/>
      <c r="Q74" s="16"/>
    </row>
    <row r="75" s="10" customFormat="1" ht="21" hidden="1" spans="1:17">
      <c r="A75" s="16"/>
      <c r="B75" s="17" t="s">
        <v>12</v>
      </c>
      <c r="C75" s="18"/>
      <c r="D75" s="19" t="s">
        <v>124</v>
      </c>
      <c r="E75" s="19" t="s">
        <v>166</v>
      </c>
      <c r="F75" s="20" t="s">
        <v>167</v>
      </c>
      <c r="G75" s="16">
        <v>2</v>
      </c>
      <c r="H75" s="21">
        <v>46181</v>
      </c>
      <c r="I75" s="21"/>
      <c r="J75" s="25">
        <v>46186</v>
      </c>
      <c r="K75" s="25">
        <v>46193</v>
      </c>
      <c r="L75" s="16" t="s">
        <v>2</v>
      </c>
      <c r="M75" s="16">
        <v>1</v>
      </c>
      <c r="N75" s="16"/>
      <c r="O75" s="16"/>
      <c r="P75" s="16"/>
      <c r="Q75" s="16"/>
    </row>
    <row r="76" s="10" customFormat="1" ht="21" hidden="1" spans="1:17">
      <c r="A76" s="16"/>
      <c r="B76" s="17" t="s">
        <v>12</v>
      </c>
      <c r="C76" s="18"/>
      <c r="D76" s="19" t="s">
        <v>124</v>
      </c>
      <c r="E76" s="19" t="s">
        <v>168</v>
      </c>
      <c r="F76" s="20" t="s">
        <v>169</v>
      </c>
      <c r="G76" s="16">
        <v>1</v>
      </c>
      <c r="H76" s="21">
        <v>46181</v>
      </c>
      <c r="I76" s="21"/>
      <c r="J76" s="25">
        <v>46188</v>
      </c>
      <c r="K76" s="25">
        <v>46193</v>
      </c>
      <c r="L76" s="16" t="s">
        <v>2</v>
      </c>
      <c r="M76" s="16">
        <v>1</v>
      </c>
      <c r="N76" s="16"/>
      <c r="O76" s="16"/>
      <c r="P76" s="16"/>
      <c r="Q76" s="16"/>
    </row>
    <row r="77" s="10" customFormat="1" ht="21" hidden="1" spans="1:17">
      <c r="A77" s="16"/>
      <c r="B77" s="17" t="s">
        <v>12</v>
      </c>
      <c r="C77" s="18"/>
      <c r="D77" s="19" t="s">
        <v>124</v>
      </c>
      <c r="E77" s="19" t="s">
        <v>170</v>
      </c>
      <c r="F77" s="20" t="s">
        <v>171</v>
      </c>
      <c r="G77" s="16">
        <v>1</v>
      </c>
      <c r="H77" s="21">
        <v>46181</v>
      </c>
      <c r="I77" s="21"/>
      <c r="J77" s="26">
        <v>46191</v>
      </c>
      <c r="K77" s="25">
        <v>46193</v>
      </c>
      <c r="L77" s="16" t="s">
        <v>0</v>
      </c>
      <c r="M77" s="16">
        <v>1</v>
      </c>
      <c r="N77" s="16"/>
      <c r="O77" s="16"/>
      <c r="P77" s="16"/>
      <c r="Q77" s="16"/>
    </row>
    <row r="78" s="10" customFormat="1" ht="21" hidden="1" spans="1:17">
      <c r="A78" s="16"/>
      <c r="B78" s="17" t="s">
        <v>12</v>
      </c>
      <c r="C78" s="18"/>
      <c r="D78" s="19" t="s">
        <v>124</v>
      </c>
      <c r="E78" s="19" t="s">
        <v>172</v>
      </c>
      <c r="F78" s="20" t="s">
        <v>173</v>
      </c>
      <c r="G78" s="16">
        <v>1</v>
      </c>
      <c r="H78" s="21">
        <v>46181</v>
      </c>
      <c r="I78" s="21"/>
      <c r="J78" s="26">
        <v>46192</v>
      </c>
      <c r="K78" s="25">
        <v>46193</v>
      </c>
      <c r="L78" s="16" t="s">
        <v>0</v>
      </c>
      <c r="M78" s="16">
        <v>1</v>
      </c>
      <c r="N78" s="16"/>
      <c r="O78" s="16"/>
      <c r="P78" s="16"/>
      <c r="Q78" s="16"/>
    </row>
    <row r="79" s="10" customFormat="1" ht="21" hidden="1" spans="1:17">
      <c r="A79" s="16"/>
      <c r="B79" s="17" t="s">
        <v>7</v>
      </c>
      <c r="C79" s="18"/>
      <c r="D79" s="19" t="s">
        <v>124</v>
      </c>
      <c r="E79" s="19" t="s">
        <v>174</v>
      </c>
      <c r="F79" s="20" t="s">
        <v>175</v>
      </c>
      <c r="G79" s="16">
        <v>1</v>
      </c>
      <c r="H79" s="21">
        <v>46181</v>
      </c>
      <c r="I79" s="21"/>
      <c r="J79" s="25">
        <v>46185</v>
      </c>
      <c r="K79" s="25">
        <v>46193</v>
      </c>
      <c r="L79" s="16" t="s">
        <v>0</v>
      </c>
      <c r="M79" s="16">
        <v>1</v>
      </c>
      <c r="N79" s="16"/>
      <c r="O79" s="16"/>
      <c r="P79" s="16"/>
      <c r="Q79" s="16"/>
    </row>
    <row r="80" s="10" customFormat="1" ht="21" hidden="1" spans="1:17">
      <c r="A80" s="16"/>
      <c r="B80" s="17" t="s">
        <v>7</v>
      </c>
      <c r="C80" s="18"/>
      <c r="D80" s="19" t="s">
        <v>124</v>
      </c>
      <c r="E80" s="19" t="s">
        <v>176</v>
      </c>
      <c r="F80" s="20" t="s">
        <v>175</v>
      </c>
      <c r="G80" s="16">
        <v>1</v>
      </c>
      <c r="H80" s="21">
        <v>46181</v>
      </c>
      <c r="I80" s="21"/>
      <c r="J80" s="25">
        <v>46185</v>
      </c>
      <c r="K80" s="25">
        <v>46193</v>
      </c>
      <c r="L80" s="16" t="s">
        <v>0</v>
      </c>
      <c r="M80" s="16">
        <v>1</v>
      </c>
      <c r="N80" s="16"/>
      <c r="O80" s="16"/>
      <c r="P80" s="16"/>
      <c r="Q80" s="16"/>
    </row>
    <row r="81" s="10" customFormat="1" ht="21" hidden="1" spans="1:17">
      <c r="A81" s="16"/>
      <c r="B81" s="17" t="s">
        <v>12</v>
      </c>
      <c r="C81" s="18"/>
      <c r="D81" s="19" t="s">
        <v>177</v>
      </c>
      <c r="E81" s="19" t="s">
        <v>178</v>
      </c>
      <c r="F81" s="20" t="s">
        <v>67</v>
      </c>
      <c r="G81" s="16">
        <v>1</v>
      </c>
      <c r="H81" s="21">
        <v>46181</v>
      </c>
      <c r="I81" s="21"/>
      <c r="J81" s="25">
        <v>46182</v>
      </c>
      <c r="K81" s="27">
        <v>46188</v>
      </c>
      <c r="L81" s="16" t="s">
        <v>1</v>
      </c>
      <c r="M81" s="16">
        <v>1</v>
      </c>
      <c r="N81" s="16"/>
      <c r="O81" s="16"/>
      <c r="P81" s="16"/>
      <c r="Q81" s="16"/>
    </row>
    <row r="82" s="10" customFormat="1" ht="21" hidden="1" spans="1:17">
      <c r="A82" s="16"/>
      <c r="B82" s="17" t="s">
        <v>7</v>
      </c>
      <c r="C82" s="18"/>
      <c r="D82" s="19" t="s">
        <v>130</v>
      </c>
      <c r="E82" s="19" t="s">
        <v>131</v>
      </c>
      <c r="F82" s="20" t="s">
        <v>45</v>
      </c>
      <c r="G82" s="16">
        <v>1</v>
      </c>
      <c r="H82" s="21">
        <v>46182</v>
      </c>
      <c r="I82" s="21"/>
      <c r="J82" s="26">
        <v>46195</v>
      </c>
      <c r="K82" s="27">
        <v>46208</v>
      </c>
      <c r="L82" s="16" t="s">
        <v>2</v>
      </c>
      <c r="M82" s="16">
        <v>1.7</v>
      </c>
      <c r="N82" s="16"/>
      <c r="O82" s="16"/>
      <c r="P82" s="16"/>
      <c r="Q82" s="16"/>
    </row>
    <row r="83" s="10" customFormat="1" ht="21" hidden="1" spans="1:17">
      <c r="A83" s="16"/>
      <c r="B83" s="17" t="s">
        <v>10</v>
      </c>
      <c r="C83" s="18"/>
      <c r="D83" s="19" t="s">
        <v>179</v>
      </c>
      <c r="E83" s="19" t="s">
        <v>180</v>
      </c>
      <c r="F83" s="20" t="s">
        <v>67</v>
      </c>
      <c r="G83" s="16">
        <v>1</v>
      </c>
      <c r="H83" s="21">
        <v>46182</v>
      </c>
      <c r="I83" s="21"/>
      <c r="J83" s="25">
        <v>46190</v>
      </c>
      <c r="K83" s="30" t="s">
        <v>181</v>
      </c>
      <c r="L83" s="16" t="s">
        <v>4</v>
      </c>
      <c r="M83" s="16">
        <v>0.2</v>
      </c>
      <c r="N83" s="16"/>
      <c r="O83" s="16"/>
      <c r="P83" s="16"/>
      <c r="Q83" s="16"/>
    </row>
    <row r="84" s="10" customFormat="1" ht="21" hidden="1" spans="1:17">
      <c r="A84" s="16"/>
      <c r="B84" s="17" t="s">
        <v>9</v>
      </c>
      <c r="C84" s="18"/>
      <c r="D84" s="19" t="s">
        <v>179</v>
      </c>
      <c r="E84" s="19" t="s">
        <v>180</v>
      </c>
      <c r="F84" s="20" t="s">
        <v>67</v>
      </c>
      <c r="G84" s="16">
        <v>1</v>
      </c>
      <c r="H84" s="21">
        <v>46182</v>
      </c>
      <c r="I84" s="21"/>
      <c r="J84" s="25">
        <v>46190</v>
      </c>
      <c r="K84" s="30" t="s">
        <v>181</v>
      </c>
      <c r="L84" s="16" t="s">
        <v>4</v>
      </c>
      <c r="M84" s="16">
        <v>0.2</v>
      </c>
      <c r="N84" s="16"/>
      <c r="O84" s="16"/>
      <c r="P84" s="16"/>
      <c r="Q84" s="16"/>
    </row>
    <row r="85" s="10" customFormat="1" ht="21" spans="1:17">
      <c r="A85" s="16"/>
      <c r="B85" s="17" t="s">
        <v>11</v>
      </c>
      <c r="C85" s="18"/>
      <c r="D85" s="19" t="s">
        <v>182</v>
      </c>
      <c r="E85" s="19" t="s">
        <v>183</v>
      </c>
      <c r="F85" s="20" t="s">
        <v>184</v>
      </c>
      <c r="G85" s="16">
        <v>1</v>
      </c>
      <c r="H85" s="21">
        <v>46182</v>
      </c>
      <c r="I85" s="21"/>
      <c r="J85" s="26"/>
      <c r="K85" s="29">
        <v>46233</v>
      </c>
      <c r="L85" s="16" t="s">
        <v>0</v>
      </c>
      <c r="M85" s="16">
        <v>1.5</v>
      </c>
      <c r="N85" s="16"/>
      <c r="O85" s="16"/>
      <c r="P85" s="16"/>
      <c r="Q85" s="16"/>
    </row>
    <row r="86" s="10" customFormat="1" ht="21" spans="1:17">
      <c r="A86" s="16"/>
      <c r="B86" s="17" t="s">
        <v>11</v>
      </c>
      <c r="C86" s="18"/>
      <c r="D86" s="19" t="s">
        <v>182</v>
      </c>
      <c r="E86" s="19" t="s">
        <v>183</v>
      </c>
      <c r="F86" s="20" t="s">
        <v>185</v>
      </c>
      <c r="G86" s="16">
        <v>1</v>
      </c>
      <c r="H86" s="21">
        <v>46182</v>
      </c>
      <c r="I86" s="21"/>
      <c r="J86" s="26"/>
      <c r="K86" s="29">
        <v>46233</v>
      </c>
      <c r="L86" s="16" t="s">
        <v>0</v>
      </c>
      <c r="M86" s="16">
        <v>1.5</v>
      </c>
      <c r="N86" s="16"/>
      <c r="O86" s="16"/>
      <c r="P86" s="16"/>
      <c r="Q86" s="16"/>
    </row>
    <row r="87" s="10" customFormat="1" ht="21" spans="1:17">
      <c r="A87" s="16"/>
      <c r="B87" s="17" t="s">
        <v>10</v>
      </c>
      <c r="C87" s="18"/>
      <c r="D87" s="19" t="s">
        <v>186</v>
      </c>
      <c r="E87" s="19" t="s">
        <v>187</v>
      </c>
      <c r="F87" s="20" t="s">
        <v>47</v>
      </c>
      <c r="G87" s="16">
        <v>2</v>
      </c>
      <c r="H87" s="21">
        <v>46183</v>
      </c>
      <c r="I87" s="21"/>
      <c r="J87" s="26"/>
      <c r="K87" s="29">
        <v>46234</v>
      </c>
      <c r="L87" s="16" t="s">
        <v>2</v>
      </c>
      <c r="M87" s="16">
        <v>0.5</v>
      </c>
      <c r="N87" s="16"/>
      <c r="O87" s="16"/>
      <c r="P87" s="16"/>
      <c r="Q87" s="16"/>
    </row>
    <row r="88" s="10" customFormat="1" ht="21" hidden="1" spans="1:17">
      <c r="A88" s="16"/>
      <c r="B88" s="17" t="s">
        <v>9</v>
      </c>
      <c r="C88" s="18"/>
      <c r="D88" s="19" t="s">
        <v>188</v>
      </c>
      <c r="E88" s="19" t="s">
        <v>189</v>
      </c>
      <c r="F88" s="20" t="s">
        <v>47</v>
      </c>
      <c r="G88" s="16">
        <v>2</v>
      </c>
      <c r="H88" s="21">
        <v>46183</v>
      </c>
      <c r="I88" s="21"/>
      <c r="J88" s="25">
        <v>46184</v>
      </c>
      <c r="K88" s="30" t="s">
        <v>190</v>
      </c>
      <c r="L88" s="16" t="s">
        <v>3</v>
      </c>
      <c r="M88" s="16">
        <v>0.3</v>
      </c>
      <c r="N88" s="16"/>
      <c r="O88" s="16"/>
      <c r="P88" s="16"/>
      <c r="Q88" s="16"/>
    </row>
    <row r="89" s="10" customFormat="1" ht="21" hidden="1" spans="1:17">
      <c r="A89" s="16"/>
      <c r="B89" s="17" t="s">
        <v>7</v>
      </c>
      <c r="C89" s="18"/>
      <c r="D89" s="19" t="s">
        <v>191</v>
      </c>
      <c r="E89" s="19" t="s">
        <v>192</v>
      </c>
      <c r="F89" s="20" t="s">
        <v>193</v>
      </c>
      <c r="G89" s="16">
        <v>1</v>
      </c>
      <c r="H89" s="21">
        <v>46169</v>
      </c>
      <c r="I89" s="21"/>
      <c r="J89" s="26">
        <v>46188</v>
      </c>
      <c r="K89" s="27">
        <v>46211</v>
      </c>
      <c r="L89" s="16" t="s">
        <v>5</v>
      </c>
      <c r="M89" s="16">
        <v>2.3</v>
      </c>
      <c r="N89" s="16"/>
      <c r="O89" s="16"/>
      <c r="P89" s="16"/>
      <c r="Q89" s="16"/>
    </row>
    <row r="90" s="10" customFormat="1" ht="21" spans="1:17">
      <c r="A90" s="16"/>
      <c r="B90" s="17" t="s">
        <v>7</v>
      </c>
      <c r="C90" s="18"/>
      <c r="D90" s="19" t="s">
        <v>179</v>
      </c>
      <c r="E90" s="19" t="s">
        <v>180</v>
      </c>
      <c r="F90" s="20" t="s">
        <v>194</v>
      </c>
      <c r="G90" s="16">
        <v>1</v>
      </c>
      <c r="H90" s="21">
        <v>46183</v>
      </c>
      <c r="I90" s="21"/>
      <c r="J90" s="26"/>
      <c r="K90" s="31">
        <v>46264</v>
      </c>
      <c r="L90" s="16" t="s">
        <v>1</v>
      </c>
      <c r="M90" s="16">
        <v>3</v>
      </c>
      <c r="N90" s="16"/>
      <c r="O90" s="16"/>
      <c r="P90" s="16"/>
      <c r="Q90" s="16"/>
    </row>
    <row r="91" s="10" customFormat="1" ht="21" hidden="1" spans="1:17">
      <c r="A91" s="16"/>
      <c r="B91" s="17" t="s">
        <v>10</v>
      </c>
      <c r="C91" s="18"/>
      <c r="D91" s="19" t="s">
        <v>195</v>
      </c>
      <c r="E91" s="19" t="s">
        <v>196</v>
      </c>
      <c r="F91" s="20" t="s">
        <v>61</v>
      </c>
      <c r="G91" s="16">
        <v>5</v>
      </c>
      <c r="H91" s="21">
        <v>46184</v>
      </c>
      <c r="I91" s="21"/>
      <c r="J91" s="26">
        <v>46195</v>
      </c>
      <c r="K91" s="23">
        <v>46214</v>
      </c>
      <c r="L91" s="16" t="s">
        <v>2</v>
      </c>
      <c r="M91" s="16">
        <v>0.5</v>
      </c>
      <c r="N91" s="16"/>
      <c r="O91" s="16"/>
      <c r="P91" s="16"/>
      <c r="Q91" s="16"/>
    </row>
    <row r="92" s="10" customFormat="1" ht="21" spans="1:17">
      <c r="A92" s="16"/>
      <c r="B92" s="17" t="s">
        <v>9</v>
      </c>
      <c r="C92" s="18"/>
      <c r="D92" s="19" t="s">
        <v>195</v>
      </c>
      <c r="E92" s="19" t="s">
        <v>196</v>
      </c>
      <c r="F92" s="20" t="s">
        <v>47</v>
      </c>
      <c r="G92" s="16">
        <v>2</v>
      </c>
      <c r="H92" s="21">
        <v>46184</v>
      </c>
      <c r="I92" s="21"/>
      <c r="J92" s="26"/>
      <c r="K92" s="23">
        <v>46214</v>
      </c>
      <c r="L92" s="16" t="s">
        <v>0</v>
      </c>
      <c r="M92" s="16">
        <v>0.5</v>
      </c>
      <c r="N92" s="16"/>
      <c r="O92" s="16"/>
      <c r="P92" s="16"/>
      <c r="Q92" s="16"/>
    </row>
    <row r="93" s="10" customFormat="1" ht="21" hidden="1" spans="1:17">
      <c r="A93" s="16"/>
      <c r="B93" s="17" t="s">
        <v>10</v>
      </c>
      <c r="C93" s="18"/>
      <c r="D93" s="19" t="s">
        <v>197</v>
      </c>
      <c r="E93" s="19" t="s">
        <v>198</v>
      </c>
      <c r="F93" s="20" t="s">
        <v>61</v>
      </c>
      <c r="G93" s="16">
        <v>6</v>
      </c>
      <c r="H93" s="21">
        <v>46185</v>
      </c>
      <c r="I93" s="21"/>
      <c r="J93" s="26">
        <v>46195</v>
      </c>
      <c r="K93" s="23">
        <v>46214</v>
      </c>
      <c r="L93" s="16" t="s">
        <v>2</v>
      </c>
      <c r="M93" s="16">
        <v>0.5</v>
      </c>
      <c r="N93" s="16"/>
      <c r="O93" s="16"/>
      <c r="P93" s="16"/>
      <c r="Q93" s="16"/>
    </row>
    <row r="94" s="10" customFormat="1" ht="21" spans="1:17">
      <c r="A94" s="16"/>
      <c r="B94" s="17" t="s">
        <v>9</v>
      </c>
      <c r="C94" s="18"/>
      <c r="D94" s="19" t="s">
        <v>197</v>
      </c>
      <c r="E94" s="19" t="s">
        <v>198</v>
      </c>
      <c r="F94" s="20" t="s">
        <v>47</v>
      </c>
      <c r="G94" s="16">
        <v>2</v>
      </c>
      <c r="H94" s="21">
        <v>46185</v>
      </c>
      <c r="I94" s="21"/>
      <c r="J94" s="26"/>
      <c r="K94" s="23">
        <v>46214</v>
      </c>
      <c r="L94" s="16" t="s">
        <v>0</v>
      </c>
      <c r="M94" s="16">
        <v>0.5</v>
      </c>
      <c r="N94" s="16"/>
      <c r="O94" s="16"/>
      <c r="P94" s="16"/>
      <c r="Q94" s="16"/>
    </row>
    <row r="95" s="10" customFormat="1" ht="21" spans="1:17">
      <c r="A95" s="16"/>
      <c r="B95" s="17" t="s">
        <v>7</v>
      </c>
      <c r="C95" s="18"/>
      <c r="D95" s="19" t="s">
        <v>199</v>
      </c>
      <c r="E95" s="19" t="s">
        <v>200</v>
      </c>
      <c r="F95" s="20" t="s">
        <v>134</v>
      </c>
      <c r="G95" s="16">
        <v>1</v>
      </c>
      <c r="H95" s="21">
        <v>46185</v>
      </c>
      <c r="I95" s="21"/>
      <c r="J95" s="26"/>
      <c r="K95" s="24">
        <v>46244</v>
      </c>
      <c r="L95" s="16" t="s">
        <v>4</v>
      </c>
      <c r="M95" s="16">
        <v>2</v>
      </c>
      <c r="N95" s="16"/>
      <c r="O95" s="16"/>
      <c r="P95" s="16"/>
      <c r="Q95" s="16"/>
    </row>
    <row r="96" s="10" customFormat="1" ht="21" hidden="1" spans="1:17">
      <c r="A96" s="16"/>
      <c r="B96" s="17" t="s">
        <v>7</v>
      </c>
      <c r="C96" s="18"/>
      <c r="D96" s="19" t="s">
        <v>197</v>
      </c>
      <c r="E96" s="19" t="s">
        <v>198</v>
      </c>
      <c r="F96" s="20" t="s">
        <v>45</v>
      </c>
      <c r="G96" s="16">
        <v>1</v>
      </c>
      <c r="H96" s="21">
        <v>46185</v>
      </c>
      <c r="I96" s="21"/>
      <c r="J96" s="26">
        <v>46191</v>
      </c>
      <c r="K96" s="23">
        <v>46214</v>
      </c>
      <c r="L96" s="16" t="s">
        <v>4</v>
      </c>
      <c r="M96" s="16">
        <v>2</v>
      </c>
      <c r="N96" s="16"/>
      <c r="O96" s="16"/>
      <c r="P96" s="16"/>
      <c r="Q96" s="16"/>
    </row>
    <row r="97" s="10" customFormat="1" ht="21" hidden="1" spans="1:17">
      <c r="A97" s="16"/>
      <c r="B97" s="17" t="s">
        <v>7</v>
      </c>
      <c r="C97" s="18"/>
      <c r="D97" s="19" t="s">
        <v>197</v>
      </c>
      <c r="E97" s="19" t="s">
        <v>198</v>
      </c>
      <c r="F97" s="20" t="s">
        <v>45</v>
      </c>
      <c r="G97" s="16">
        <v>1</v>
      </c>
      <c r="H97" s="21">
        <v>46185</v>
      </c>
      <c r="I97" s="21"/>
      <c r="J97" s="26">
        <v>46191</v>
      </c>
      <c r="K97" s="23">
        <v>46214</v>
      </c>
      <c r="L97" s="16" t="s">
        <v>4</v>
      </c>
      <c r="M97" s="16">
        <v>2</v>
      </c>
      <c r="N97" s="16"/>
      <c r="O97" s="16"/>
      <c r="P97" s="16"/>
      <c r="Q97" s="16"/>
    </row>
    <row r="98" s="10" customFormat="1" ht="21" hidden="1" spans="1:17">
      <c r="A98" s="16"/>
      <c r="B98" s="17" t="s">
        <v>17</v>
      </c>
      <c r="C98" s="18"/>
      <c r="D98" s="19" t="s">
        <v>201</v>
      </c>
      <c r="E98" s="19" t="s">
        <v>202</v>
      </c>
      <c r="F98" s="20" t="s">
        <v>155</v>
      </c>
      <c r="G98" s="16">
        <v>20</v>
      </c>
      <c r="H98" s="21">
        <v>46185</v>
      </c>
      <c r="I98" s="21"/>
      <c r="J98" s="26">
        <v>46197</v>
      </c>
      <c r="K98" s="25">
        <v>46203</v>
      </c>
      <c r="L98" s="16" t="s">
        <v>1</v>
      </c>
      <c r="M98" s="16">
        <v>12</v>
      </c>
      <c r="N98" s="16"/>
      <c r="O98" s="16"/>
      <c r="P98" s="16"/>
      <c r="Q98" s="16"/>
    </row>
    <row r="99" s="10" customFormat="1" ht="21" hidden="1" spans="1:17">
      <c r="A99" s="16"/>
      <c r="B99" s="17" t="s">
        <v>11</v>
      </c>
      <c r="C99" s="18"/>
      <c r="D99" s="19" t="s">
        <v>203</v>
      </c>
      <c r="E99" s="19" t="s">
        <v>204</v>
      </c>
      <c r="F99" s="20" t="s">
        <v>205</v>
      </c>
      <c r="G99" s="16">
        <v>2</v>
      </c>
      <c r="H99" s="21">
        <v>46185</v>
      </c>
      <c r="I99" s="21"/>
      <c r="J99" s="26">
        <v>46197</v>
      </c>
      <c r="K99" s="23">
        <v>46213</v>
      </c>
      <c r="L99" s="16" t="s">
        <v>3</v>
      </c>
      <c r="M99" s="16">
        <v>2</v>
      </c>
      <c r="N99" s="16"/>
      <c r="O99" s="16"/>
      <c r="P99" s="16"/>
      <c r="Q99" s="16"/>
    </row>
    <row r="100" s="10" customFormat="1" hidden="1" spans="1:17">
      <c r="A100" s="16"/>
      <c r="B100" s="17" t="s">
        <v>11</v>
      </c>
      <c r="D100" s="19" t="s">
        <v>203</v>
      </c>
      <c r="E100" s="19" t="s">
        <v>204</v>
      </c>
      <c r="F100" s="10" t="s">
        <v>205</v>
      </c>
      <c r="G100" s="10">
        <v>1</v>
      </c>
      <c r="H100" s="21">
        <v>46185</v>
      </c>
      <c r="J100" s="32">
        <v>46197</v>
      </c>
      <c r="K100" s="23">
        <v>46213</v>
      </c>
      <c r="L100" s="16" t="s">
        <v>3</v>
      </c>
      <c r="M100" s="10">
        <v>2</v>
      </c>
      <c r="N100" s="16"/>
      <c r="O100" s="16"/>
      <c r="P100" s="16"/>
      <c r="Q100" s="16"/>
    </row>
    <row r="101" s="10" customFormat="1" ht="21" spans="1:17">
      <c r="A101" s="16"/>
      <c r="B101" s="17" t="s">
        <v>11</v>
      </c>
      <c r="C101" s="18"/>
      <c r="D101" s="19" t="s">
        <v>203</v>
      </c>
      <c r="E101" s="19" t="s">
        <v>204</v>
      </c>
      <c r="F101" s="20" t="s">
        <v>206</v>
      </c>
      <c r="G101" s="16">
        <v>1</v>
      </c>
      <c r="H101" s="21">
        <v>46185</v>
      </c>
      <c r="I101" s="21"/>
      <c r="J101" s="26"/>
      <c r="K101" s="23">
        <v>46213</v>
      </c>
      <c r="L101" s="16" t="s">
        <v>3</v>
      </c>
      <c r="M101" s="16">
        <v>2</v>
      </c>
      <c r="N101" s="16"/>
      <c r="O101" s="16"/>
      <c r="P101" s="16"/>
      <c r="Q101" s="16"/>
    </row>
    <row r="102" s="10" customFormat="1" ht="21" hidden="1" spans="1:17">
      <c r="A102" s="16"/>
      <c r="B102" s="17" t="s">
        <v>7</v>
      </c>
      <c r="C102" s="18"/>
      <c r="D102" s="19" t="s">
        <v>195</v>
      </c>
      <c r="E102" s="19" t="s">
        <v>196</v>
      </c>
      <c r="F102" s="20" t="s">
        <v>207</v>
      </c>
      <c r="G102" s="16">
        <v>4</v>
      </c>
      <c r="H102" s="21">
        <v>46185</v>
      </c>
      <c r="I102" s="21"/>
      <c r="J102" s="26">
        <v>46195</v>
      </c>
      <c r="K102" s="23">
        <v>46213</v>
      </c>
      <c r="L102" s="16" t="s">
        <v>5</v>
      </c>
      <c r="M102" s="16">
        <v>2.5</v>
      </c>
      <c r="N102" s="16"/>
      <c r="O102" s="16"/>
      <c r="P102" s="16"/>
      <c r="Q102" s="16"/>
    </row>
    <row r="103" s="10" customFormat="1" ht="21" hidden="1" spans="1:17">
      <c r="A103" s="16"/>
      <c r="B103" s="17" t="s">
        <v>9</v>
      </c>
      <c r="C103" s="18"/>
      <c r="D103" s="19" t="s">
        <v>208</v>
      </c>
      <c r="E103" s="19" t="s">
        <v>209</v>
      </c>
      <c r="F103" s="20" t="s">
        <v>61</v>
      </c>
      <c r="G103" s="16">
        <v>5</v>
      </c>
      <c r="H103" s="21">
        <v>46188</v>
      </c>
      <c r="I103" s="21"/>
      <c r="J103" s="26">
        <v>46191</v>
      </c>
      <c r="K103" s="27">
        <v>46208</v>
      </c>
      <c r="L103" s="16" t="s">
        <v>2</v>
      </c>
      <c r="M103" s="16">
        <v>0.8</v>
      </c>
      <c r="N103" s="16"/>
      <c r="O103" s="16"/>
      <c r="P103" s="16"/>
      <c r="Q103" s="16"/>
    </row>
    <row r="104" s="10" customFormat="1" ht="21" hidden="1" spans="1:17">
      <c r="A104" s="16"/>
      <c r="B104" s="17" t="s">
        <v>10</v>
      </c>
      <c r="C104" s="18"/>
      <c r="D104" s="19" t="s">
        <v>210</v>
      </c>
      <c r="E104" s="19" t="s">
        <v>211</v>
      </c>
      <c r="F104" s="20" t="s">
        <v>67</v>
      </c>
      <c r="G104" s="16">
        <v>1</v>
      </c>
      <c r="H104" s="21">
        <v>46188</v>
      </c>
      <c r="I104" s="21"/>
      <c r="J104" s="25">
        <v>46190</v>
      </c>
      <c r="K104" s="25">
        <v>46203</v>
      </c>
      <c r="L104" s="16" t="s">
        <v>2</v>
      </c>
      <c r="M104" s="16">
        <v>0.4</v>
      </c>
      <c r="N104" s="16"/>
      <c r="O104" s="16"/>
      <c r="P104" s="16"/>
      <c r="Q104" s="16"/>
    </row>
    <row r="105" s="10" customFormat="1" spans="1:17">
      <c r="A105" s="16"/>
      <c r="B105" s="17" t="s">
        <v>7</v>
      </c>
      <c r="C105" s="18"/>
      <c r="D105" s="19" t="s">
        <v>208</v>
      </c>
      <c r="E105" s="19" t="s">
        <v>209</v>
      </c>
      <c r="F105" s="16" t="s">
        <v>212</v>
      </c>
      <c r="G105" s="16">
        <v>1</v>
      </c>
      <c r="H105" s="21">
        <v>46189</v>
      </c>
      <c r="I105" s="21"/>
      <c r="J105" s="26"/>
      <c r="K105" s="27">
        <v>46208</v>
      </c>
      <c r="L105" s="16" t="s">
        <v>0</v>
      </c>
      <c r="M105" s="16">
        <v>3</v>
      </c>
      <c r="N105" s="16"/>
      <c r="O105" s="16"/>
      <c r="P105" s="16"/>
      <c r="Q105" s="16"/>
    </row>
    <row r="106" s="10" customFormat="1" ht="21" hidden="1" spans="1:17">
      <c r="A106" s="16"/>
      <c r="B106" s="17" t="s">
        <v>9</v>
      </c>
      <c r="C106" s="18"/>
      <c r="D106" s="19" t="s">
        <v>213</v>
      </c>
      <c r="E106" s="19" t="s">
        <v>214</v>
      </c>
      <c r="F106" s="20" t="s">
        <v>47</v>
      </c>
      <c r="G106" s="16">
        <v>3</v>
      </c>
      <c r="H106" s="21">
        <v>46189</v>
      </c>
      <c r="I106" s="21"/>
      <c r="J106" s="25">
        <v>46189</v>
      </c>
      <c r="K106" s="25">
        <v>46189</v>
      </c>
      <c r="L106" s="16" t="s">
        <v>3</v>
      </c>
      <c r="M106" s="16">
        <v>0.5</v>
      </c>
      <c r="N106" s="16"/>
      <c r="O106" s="16"/>
      <c r="P106" s="16"/>
      <c r="Q106" s="16"/>
    </row>
    <row r="107" s="10" customFormat="1" spans="1:17">
      <c r="A107" s="16"/>
      <c r="B107" s="17" t="s">
        <v>7</v>
      </c>
      <c r="C107" s="18"/>
      <c r="D107" s="19" t="s">
        <v>215</v>
      </c>
      <c r="E107" s="19" t="s">
        <v>216</v>
      </c>
      <c r="F107" s="16" t="s">
        <v>217</v>
      </c>
      <c r="G107" s="16">
        <v>1</v>
      </c>
      <c r="H107" s="21">
        <v>46189</v>
      </c>
      <c r="I107" s="21"/>
      <c r="J107" s="26"/>
      <c r="K107" s="29">
        <v>46233</v>
      </c>
      <c r="L107" s="16" t="s">
        <v>1</v>
      </c>
      <c r="M107" s="16">
        <v>2.7</v>
      </c>
      <c r="N107" s="16"/>
      <c r="O107" s="16"/>
      <c r="P107" s="16" t="s">
        <v>73</v>
      </c>
      <c r="Q107" s="16"/>
    </row>
    <row r="108" s="10" customFormat="1" spans="1:17">
      <c r="A108" s="16"/>
      <c r="B108" s="17" t="s">
        <v>7</v>
      </c>
      <c r="C108" s="18"/>
      <c r="D108" s="19" t="s">
        <v>215</v>
      </c>
      <c r="E108" s="19" t="s">
        <v>216</v>
      </c>
      <c r="F108" s="16" t="s">
        <v>218</v>
      </c>
      <c r="G108" s="16">
        <v>1</v>
      </c>
      <c r="H108" s="21">
        <v>46189</v>
      </c>
      <c r="I108" s="21"/>
      <c r="J108" s="21"/>
      <c r="K108" s="29">
        <v>46233</v>
      </c>
      <c r="L108" s="16" t="s">
        <v>1</v>
      </c>
      <c r="M108" s="16">
        <v>2.7</v>
      </c>
      <c r="N108" s="16"/>
      <c r="O108" s="16"/>
      <c r="P108" s="16" t="s">
        <v>73</v>
      </c>
      <c r="Q108" s="16"/>
    </row>
    <row r="109" s="10" customFormat="1" ht="21" hidden="1" spans="1:17">
      <c r="A109" s="16"/>
      <c r="B109" s="17" t="s">
        <v>9</v>
      </c>
      <c r="C109" s="18"/>
      <c r="D109" s="19" t="s">
        <v>219</v>
      </c>
      <c r="E109" s="19" t="s">
        <v>220</v>
      </c>
      <c r="F109" s="20" t="s">
        <v>104</v>
      </c>
      <c r="G109" s="16">
        <v>6</v>
      </c>
      <c r="H109" s="21">
        <v>46190</v>
      </c>
      <c r="I109" s="21"/>
      <c r="J109" s="26">
        <v>46195</v>
      </c>
      <c r="K109" s="23">
        <v>46217</v>
      </c>
      <c r="L109" s="16" t="s">
        <v>4</v>
      </c>
      <c r="M109" s="16">
        <v>0.5</v>
      </c>
      <c r="N109" s="16"/>
      <c r="O109" s="16"/>
      <c r="P109" s="16"/>
      <c r="Q109" s="16"/>
    </row>
    <row r="110" s="10" customFormat="1" ht="21" hidden="1" spans="1:17">
      <c r="A110" s="16"/>
      <c r="B110" s="17" t="s">
        <v>9</v>
      </c>
      <c r="C110" s="18"/>
      <c r="D110" s="19" t="s">
        <v>221</v>
      </c>
      <c r="E110" s="19" t="s">
        <v>222</v>
      </c>
      <c r="F110" s="20" t="s">
        <v>105</v>
      </c>
      <c r="G110" s="16">
        <v>10</v>
      </c>
      <c r="H110" s="21">
        <v>46190</v>
      </c>
      <c r="I110" s="21"/>
      <c r="J110" s="26">
        <v>46195</v>
      </c>
      <c r="K110" s="23">
        <v>46217</v>
      </c>
      <c r="L110" s="16" t="s">
        <v>4</v>
      </c>
      <c r="M110" s="16">
        <v>0.5</v>
      </c>
      <c r="N110" s="16"/>
      <c r="O110" s="16"/>
      <c r="P110" s="16"/>
      <c r="Q110" s="16"/>
    </row>
    <row r="111" s="10" customFormat="1" ht="21" spans="1:17">
      <c r="A111" s="16"/>
      <c r="B111" s="17" t="s">
        <v>15</v>
      </c>
      <c r="C111" s="18"/>
      <c r="D111" s="19" t="s">
        <v>223</v>
      </c>
      <c r="E111" s="19" t="s">
        <v>224</v>
      </c>
      <c r="F111" s="20" t="s">
        <v>104</v>
      </c>
      <c r="G111" s="16">
        <v>13</v>
      </c>
      <c r="H111" s="21">
        <v>46190</v>
      </c>
      <c r="I111" s="21"/>
      <c r="J111" s="26"/>
      <c r="K111" s="29">
        <v>46230</v>
      </c>
      <c r="L111" s="16" t="s">
        <v>2</v>
      </c>
      <c r="M111" s="16">
        <v>1.7</v>
      </c>
      <c r="N111" s="16"/>
      <c r="O111" s="16"/>
      <c r="P111" s="16"/>
      <c r="Q111" s="16"/>
    </row>
    <row r="112" s="10" customFormat="1" ht="21" spans="1:17">
      <c r="A112" s="16"/>
      <c r="B112" s="17" t="s">
        <v>16</v>
      </c>
      <c r="C112" s="18"/>
      <c r="D112" s="19" t="s">
        <v>225</v>
      </c>
      <c r="E112" s="19" t="s">
        <v>226</v>
      </c>
      <c r="F112" s="20" t="s">
        <v>105</v>
      </c>
      <c r="G112" s="16">
        <v>6</v>
      </c>
      <c r="H112" s="21">
        <v>46191</v>
      </c>
      <c r="I112" s="21"/>
      <c r="J112" s="26"/>
      <c r="K112" s="29">
        <v>46228</v>
      </c>
      <c r="L112" s="16" t="s">
        <v>2</v>
      </c>
      <c r="M112" s="16">
        <v>2</v>
      </c>
      <c r="N112" s="16"/>
      <c r="O112" s="16"/>
      <c r="P112" s="16"/>
      <c r="Q112" s="16"/>
    </row>
    <row r="113" s="10" customFormat="1" ht="21" spans="1:17">
      <c r="A113" s="16"/>
      <c r="B113" s="17" t="s">
        <v>10</v>
      </c>
      <c r="C113" s="18"/>
      <c r="D113" s="19" t="s">
        <v>227</v>
      </c>
      <c r="E113" s="19" t="s">
        <v>228</v>
      </c>
      <c r="F113" s="20" t="s">
        <v>47</v>
      </c>
      <c r="G113" s="16">
        <v>2</v>
      </c>
      <c r="H113" s="21">
        <v>46195</v>
      </c>
      <c r="I113" s="21"/>
      <c r="J113" s="26"/>
      <c r="K113" s="22">
        <v>46223</v>
      </c>
      <c r="L113" s="16" t="s">
        <v>2</v>
      </c>
      <c r="M113" s="16">
        <v>0.4</v>
      </c>
      <c r="N113" s="16"/>
      <c r="O113" s="16"/>
      <c r="P113" s="16"/>
      <c r="Q113" s="16"/>
    </row>
    <row r="114" s="10" customFormat="1" ht="21" spans="1:17">
      <c r="A114" s="16"/>
      <c r="B114" s="17" t="s">
        <v>12</v>
      </c>
      <c r="C114" s="18"/>
      <c r="D114" s="19" t="s">
        <v>229</v>
      </c>
      <c r="E114" s="19" t="s">
        <v>230</v>
      </c>
      <c r="F114" s="20" t="s">
        <v>231</v>
      </c>
      <c r="G114" s="16">
        <v>1</v>
      </c>
      <c r="H114" s="21">
        <v>46195</v>
      </c>
      <c r="I114" s="21"/>
      <c r="J114" s="26"/>
      <c r="K114" s="22">
        <v>46218</v>
      </c>
      <c r="L114" s="16" t="s">
        <v>1</v>
      </c>
      <c r="M114" s="16">
        <v>2</v>
      </c>
      <c r="N114" s="16"/>
      <c r="O114" s="16"/>
      <c r="P114" s="16"/>
      <c r="Q114" s="16"/>
    </row>
    <row r="115" s="10" customFormat="1" ht="21" spans="1:17">
      <c r="A115" s="16"/>
      <c r="B115" s="17" t="s">
        <v>12</v>
      </c>
      <c r="C115" s="18"/>
      <c r="D115" s="19" t="s">
        <v>229</v>
      </c>
      <c r="E115" s="19" t="s">
        <v>230</v>
      </c>
      <c r="F115" s="20" t="s">
        <v>232</v>
      </c>
      <c r="G115" s="16">
        <v>1</v>
      </c>
      <c r="H115" s="21">
        <v>46195</v>
      </c>
      <c r="I115" s="21"/>
      <c r="J115" s="26"/>
      <c r="K115" s="22">
        <v>46218</v>
      </c>
      <c r="L115" s="16" t="s">
        <v>1</v>
      </c>
      <c r="M115" s="16">
        <v>1.5</v>
      </c>
      <c r="N115" s="16"/>
      <c r="O115" s="16"/>
      <c r="P115" s="16"/>
      <c r="Q115" s="16"/>
    </row>
    <row r="116" s="10" customFormat="1" ht="21" spans="1:17">
      <c r="A116" s="16"/>
      <c r="B116" s="17" t="s">
        <v>10</v>
      </c>
      <c r="C116" s="18"/>
      <c r="D116" s="19" t="s">
        <v>233</v>
      </c>
      <c r="E116" s="19" t="s">
        <v>234</v>
      </c>
      <c r="F116" s="20" t="s">
        <v>61</v>
      </c>
      <c r="G116" s="16">
        <v>6</v>
      </c>
      <c r="H116" s="21">
        <v>46195</v>
      </c>
      <c r="I116" s="21"/>
      <c r="J116" s="26"/>
      <c r="K116" s="29">
        <v>46233</v>
      </c>
      <c r="L116" s="16" t="s">
        <v>2</v>
      </c>
      <c r="M116" s="16">
        <v>0.6</v>
      </c>
      <c r="N116" s="16"/>
      <c r="O116" s="16"/>
      <c r="P116" s="16"/>
      <c r="Q116" s="16"/>
    </row>
    <row r="117" s="10" customFormat="1" ht="21" hidden="1" spans="1:17">
      <c r="A117" s="16"/>
      <c r="B117" s="17" t="s">
        <v>9</v>
      </c>
      <c r="C117" s="18"/>
      <c r="D117" s="19" t="s">
        <v>233</v>
      </c>
      <c r="E117" s="19" t="s">
        <v>235</v>
      </c>
      <c r="F117" s="20" t="s">
        <v>47</v>
      </c>
      <c r="G117" s="16">
        <v>2</v>
      </c>
      <c r="H117" s="21">
        <v>46195</v>
      </c>
      <c r="I117" s="21"/>
      <c r="J117" s="26">
        <v>46197</v>
      </c>
      <c r="K117" s="29">
        <v>46233</v>
      </c>
      <c r="L117" s="16" t="s">
        <v>4</v>
      </c>
      <c r="M117" s="16">
        <v>1</v>
      </c>
      <c r="N117" s="16"/>
      <c r="O117" s="16"/>
      <c r="P117" s="16"/>
      <c r="Q117" s="16"/>
    </row>
    <row r="118" s="10" customFormat="1" ht="21" spans="1:17">
      <c r="A118" s="16"/>
      <c r="B118" s="17" t="s">
        <v>11</v>
      </c>
      <c r="C118" s="18"/>
      <c r="D118" s="19" t="s">
        <v>203</v>
      </c>
      <c r="E118" s="19" t="s">
        <v>236</v>
      </c>
      <c r="F118" s="20" t="s">
        <v>237</v>
      </c>
      <c r="G118" s="16">
        <v>1</v>
      </c>
      <c r="H118" s="21">
        <v>46197</v>
      </c>
      <c r="I118" s="21"/>
      <c r="J118" s="26"/>
      <c r="K118" s="24">
        <v>46239</v>
      </c>
      <c r="L118" s="16" t="s">
        <v>3</v>
      </c>
      <c r="M118" s="16">
        <v>2</v>
      </c>
      <c r="N118" s="16"/>
      <c r="O118" s="16"/>
      <c r="P118" s="16"/>
      <c r="Q118" s="16"/>
    </row>
    <row r="119" s="10" customFormat="1" ht="21" spans="1:17">
      <c r="A119" s="16"/>
      <c r="B119" s="17" t="s">
        <v>7</v>
      </c>
      <c r="C119" s="18"/>
      <c r="D119" s="19" t="s">
        <v>221</v>
      </c>
      <c r="E119" s="19" t="s">
        <v>222</v>
      </c>
      <c r="F119" s="20" t="s">
        <v>238</v>
      </c>
      <c r="G119" s="16">
        <v>1</v>
      </c>
      <c r="H119" s="21">
        <v>46197</v>
      </c>
      <c r="I119" s="21"/>
      <c r="J119" s="26"/>
      <c r="K119" s="23">
        <v>46217</v>
      </c>
      <c r="L119" s="16" t="s">
        <v>1</v>
      </c>
      <c r="M119" s="16">
        <v>3.3</v>
      </c>
      <c r="N119" s="16"/>
      <c r="O119" s="16"/>
      <c r="P119" s="16"/>
      <c r="Q119" s="16"/>
    </row>
    <row r="120" s="10" customFormat="1" ht="21" spans="1:17">
      <c r="A120" s="16"/>
      <c r="B120" s="17" t="s">
        <v>7</v>
      </c>
      <c r="C120" s="18"/>
      <c r="D120" s="19" t="s">
        <v>221</v>
      </c>
      <c r="E120" s="19" t="s">
        <v>222</v>
      </c>
      <c r="F120" s="20" t="s">
        <v>212</v>
      </c>
      <c r="G120" s="16">
        <v>1</v>
      </c>
      <c r="H120" s="21">
        <v>46197</v>
      </c>
      <c r="I120" s="21"/>
      <c r="J120" s="26"/>
      <c r="K120" s="23">
        <v>46217</v>
      </c>
      <c r="L120" s="16" t="s">
        <v>1</v>
      </c>
      <c r="M120" s="16">
        <v>3.3</v>
      </c>
      <c r="N120" s="16"/>
      <c r="O120" s="16"/>
      <c r="P120" s="16"/>
      <c r="Q120" s="16"/>
    </row>
    <row r="121" s="10" customFormat="1" ht="21" spans="1:17">
      <c r="A121" s="16"/>
      <c r="B121" s="17" t="s">
        <v>7</v>
      </c>
      <c r="C121" s="18"/>
      <c r="D121" s="19" t="s">
        <v>219</v>
      </c>
      <c r="E121" s="19" t="s">
        <v>220</v>
      </c>
      <c r="F121" s="20" t="s">
        <v>239</v>
      </c>
      <c r="G121" s="16">
        <v>1</v>
      </c>
      <c r="H121" s="21">
        <v>46197</v>
      </c>
      <c r="I121" s="21"/>
      <c r="J121" s="26"/>
      <c r="K121" s="23">
        <v>46217</v>
      </c>
      <c r="L121" s="16" t="s">
        <v>0</v>
      </c>
      <c r="M121" s="16">
        <v>3.3</v>
      </c>
      <c r="N121" s="16"/>
      <c r="O121" s="16"/>
      <c r="P121" s="16"/>
      <c r="Q121" s="16"/>
    </row>
    <row r="122" s="10" customFormat="1" ht="21" spans="1:17">
      <c r="A122" s="16"/>
      <c r="B122" s="17" t="s">
        <v>7</v>
      </c>
      <c r="C122" s="18"/>
      <c r="D122" s="19" t="s">
        <v>225</v>
      </c>
      <c r="E122" s="19" t="s">
        <v>226</v>
      </c>
      <c r="F122" s="20" t="s">
        <v>193</v>
      </c>
      <c r="G122" s="16">
        <v>1</v>
      </c>
      <c r="H122" s="21">
        <v>46197</v>
      </c>
      <c r="I122" s="21"/>
      <c r="J122" s="26"/>
      <c r="K122" s="29">
        <v>46233</v>
      </c>
      <c r="L122" s="16" t="s">
        <v>4</v>
      </c>
      <c r="M122" s="16">
        <v>2.2</v>
      </c>
      <c r="N122" s="16"/>
      <c r="O122" s="16"/>
      <c r="P122" s="16"/>
      <c r="Q122" s="16"/>
    </row>
    <row r="123" s="10" customFormat="1" ht="21" spans="1:17">
      <c r="A123" s="16"/>
      <c r="B123" s="17" t="s">
        <v>7</v>
      </c>
      <c r="C123" s="18"/>
      <c r="D123" s="10" t="s">
        <v>240</v>
      </c>
      <c r="E123" s="19" t="s">
        <v>241</v>
      </c>
      <c r="F123" s="20" t="s">
        <v>242</v>
      </c>
      <c r="G123" s="16">
        <v>1</v>
      </c>
      <c r="H123" s="21">
        <v>46197</v>
      </c>
      <c r="I123" s="21"/>
      <c r="J123" s="26"/>
      <c r="K123" s="29">
        <v>46235</v>
      </c>
      <c r="L123" s="16" t="s">
        <v>1</v>
      </c>
      <c r="M123" s="16">
        <v>3.5</v>
      </c>
      <c r="N123" s="16"/>
      <c r="O123" s="16"/>
      <c r="P123" s="16"/>
      <c r="Q123" s="16"/>
    </row>
    <row r="124" s="10" customFormat="1" ht="21" spans="1:17">
      <c r="A124" s="16"/>
      <c r="B124" s="17" t="s">
        <v>7</v>
      </c>
      <c r="C124" s="18"/>
      <c r="D124" s="19" t="s">
        <v>233</v>
      </c>
      <c r="E124" s="19" t="s">
        <v>243</v>
      </c>
      <c r="F124" s="20" t="s">
        <v>244</v>
      </c>
      <c r="G124" s="16">
        <v>1</v>
      </c>
      <c r="H124" s="21">
        <v>46197</v>
      </c>
      <c r="I124" s="21"/>
      <c r="J124" s="26"/>
      <c r="K124" s="29">
        <v>46233</v>
      </c>
      <c r="L124" s="16" t="s">
        <v>3</v>
      </c>
      <c r="M124" s="16">
        <v>3.5</v>
      </c>
      <c r="N124" s="16"/>
      <c r="O124" s="16"/>
      <c r="P124" s="16"/>
      <c r="Q124" s="16"/>
    </row>
    <row r="125" s="10" customFormat="1" ht="21" spans="1:17">
      <c r="A125" s="16"/>
      <c r="B125" s="17" t="s">
        <v>7</v>
      </c>
      <c r="C125" s="18"/>
      <c r="D125" s="19" t="s">
        <v>233</v>
      </c>
      <c r="E125" s="19" t="s">
        <v>243</v>
      </c>
      <c r="F125" s="20" t="s">
        <v>245</v>
      </c>
      <c r="G125" s="16">
        <v>1</v>
      </c>
      <c r="H125" s="21">
        <v>46197</v>
      </c>
      <c r="I125" s="21"/>
      <c r="J125" s="26"/>
      <c r="K125" s="29">
        <v>46233</v>
      </c>
      <c r="L125" s="16" t="s">
        <v>2</v>
      </c>
      <c r="M125" s="16">
        <v>3.5</v>
      </c>
      <c r="N125" s="16"/>
      <c r="O125" s="16"/>
      <c r="P125" s="16"/>
      <c r="Q125" s="16"/>
    </row>
    <row r="126" s="10" customFormat="1" ht="21" spans="1:17">
      <c r="A126" s="16"/>
      <c r="B126" s="17" t="s">
        <v>7</v>
      </c>
      <c r="C126" s="18"/>
      <c r="D126" s="19" t="s">
        <v>227</v>
      </c>
      <c r="E126" s="19" t="s">
        <v>228</v>
      </c>
      <c r="F126" s="20" t="s">
        <v>91</v>
      </c>
      <c r="G126" s="16">
        <v>1</v>
      </c>
      <c r="H126" s="21">
        <v>46198</v>
      </c>
      <c r="I126" s="21"/>
      <c r="J126" s="26"/>
      <c r="K126" s="24">
        <v>46239</v>
      </c>
      <c r="L126" s="16" t="s">
        <v>2</v>
      </c>
      <c r="M126" s="16">
        <v>3.5</v>
      </c>
      <c r="N126" s="16"/>
      <c r="O126" s="16"/>
      <c r="P126" s="16"/>
      <c r="Q126" s="16"/>
    </row>
    <row r="127" s="10" customFormat="1" spans="1:17">
      <c r="A127" s="16"/>
      <c r="B127" s="18"/>
      <c r="C127" s="18"/>
      <c r="D127" s="19"/>
      <c r="E127" s="19"/>
      <c r="F127" s="20"/>
      <c r="G127" s="16"/>
      <c r="H127" s="21"/>
      <c r="I127" s="21"/>
      <c r="J127" s="26"/>
      <c r="K127" s="30"/>
      <c r="L127" s="16"/>
      <c r="M127" s="16"/>
      <c r="N127" s="16"/>
      <c r="O127" s="16"/>
      <c r="P127" s="16"/>
      <c r="Q127" s="16"/>
    </row>
    <row r="128" s="10" customFormat="1" spans="1:17">
      <c r="A128" s="16"/>
      <c r="B128" s="18"/>
      <c r="C128" s="18"/>
      <c r="D128" s="19"/>
      <c r="E128" s="19"/>
      <c r="F128" s="20"/>
      <c r="G128" s="16"/>
      <c r="H128" s="21"/>
      <c r="I128" s="21"/>
      <c r="J128" s="26"/>
      <c r="K128" s="30"/>
      <c r="L128" s="16"/>
      <c r="M128" s="16"/>
      <c r="N128" s="16"/>
      <c r="O128" s="16"/>
      <c r="P128" s="16"/>
      <c r="Q128" s="16"/>
    </row>
    <row r="129" s="10" customFormat="1" spans="1:17">
      <c r="A129" s="16"/>
      <c r="B129" s="18"/>
      <c r="C129" s="18"/>
      <c r="D129" s="19"/>
      <c r="E129" s="19"/>
      <c r="F129" s="20"/>
      <c r="G129" s="16"/>
      <c r="H129" s="21"/>
      <c r="I129" s="21"/>
      <c r="J129" s="26"/>
      <c r="K129" s="30"/>
      <c r="L129" s="16"/>
      <c r="M129" s="16"/>
      <c r="N129" s="16"/>
      <c r="O129" s="16"/>
      <c r="P129" s="16"/>
      <c r="Q129" s="16"/>
    </row>
    <row r="130" s="10" customFormat="1" spans="1:17">
      <c r="A130" s="16"/>
      <c r="B130" s="18"/>
      <c r="C130" s="18"/>
      <c r="D130" s="19"/>
      <c r="E130" s="19"/>
      <c r="F130" s="20"/>
      <c r="G130" s="16"/>
      <c r="H130" s="21"/>
      <c r="I130" s="21"/>
      <c r="J130" s="26"/>
      <c r="K130" s="30"/>
      <c r="L130" s="16"/>
      <c r="M130" s="16"/>
      <c r="N130" s="16"/>
      <c r="O130" s="16"/>
      <c r="P130" s="16"/>
      <c r="Q130" s="16"/>
    </row>
    <row r="131" s="10" customFormat="1" spans="1:17">
      <c r="A131" s="16"/>
      <c r="B131" s="18"/>
      <c r="C131" s="18"/>
      <c r="D131" s="19"/>
      <c r="E131" s="19"/>
      <c r="F131" s="20"/>
      <c r="G131" s="16"/>
      <c r="H131" s="21"/>
      <c r="I131" s="21"/>
      <c r="J131" s="26"/>
      <c r="K131" s="30"/>
      <c r="L131" s="16"/>
      <c r="M131" s="16"/>
      <c r="N131" s="16"/>
      <c r="O131" s="16"/>
      <c r="P131" s="16"/>
      <c r="Q131" s="16"/>
    </row>
    <row r="132" s="10" customFormat="1" spans="1:17">
      <c r="A132" s="16"/>
      <c r="B132" s="18"/>
      <c r="C132" s="18"/>
      <c r="D132" s="19"/>
      <c r="E132" s="19"/>
      <c r="F132" s="20"/>
      <c r="G132" s="16"/>
      <c r="H132" s="21"/>
      <c r="I132" s="21"/>
      <c r="J132" s="26"/>
      <c r="K132" s="30"/>
      <c r="L132" s="16"/>
      <c r="M132" s="16"/>
      <c r="N132" s="16"/>
      <c r="O132" s="16"/>
      <c r="P132" s="16"/>
      <c r="Q132" s="16"/>
    </row>
    <row r="133" s="10" customFormat="1" spans="1:17">
      <c r="A133" s="16"/>
      <c r="B133" s="18"/>
      <c r="C133" s="18"/>
      <c r="D133" s="19"/>
      <c r="E133" s="19"/>
      <c r="F133" s="20"/>
      <c r="G133" s="16"/>
      <c r="H133" s="21"/>
      <c r="I133" s="21"/>
      <c r="J133" s="26"/>
      <c r="K133" s="30"/>
      <c r="L133" s="16"/>
      <c r="M133" s="16"/>
      <c r="N133" s="16"/>
      <c r="O133" s="16"/>
      <c r="P133" s="16"/>
      <c r="Q133" s="16"/>
    </row>
    <row r="134" s="10" customFormat="1" spans="1:17">
      <c r="A134" s="16"/>
      <c r="B134" s="18"/>
      <c r="C134" s="18"/>
      <c r="D134" s="19"/>
      <c r="E134" s="19"/>
      <c r="F134" s="20"/>
      <c r="G134" s="16"/>
      <c r="H134" s="21"/>
      <c r="I134" s="21"/>
      <c r="J134" s="26"/>
      <c r="K134" s="30"/>
      <c r="L134" s="16"/>
      <c r="M134" s="16"/>
      <c r="N134" s="16"/>
      <c r="O134" s="16"/>
      <c r="P134" s="16"/>
      <c r="Q134" s="16"/>
    </row>
    <row r="135" s="10" customFormat="1" spans="1:17">
      <c r="A135" s="16"/>
      <c r="B135" s="18"/>
      <c r="C135" s="18"/>
      <c r="D135" s="19"/>
      <c r="E135" s="19"/>
      <c r="F135" s="20"/>
      <c r="G135" s="16"/>
      <c r="H135" s="21"/>
      <c r="I135" s="21"/>
      <c r="J135" s="26"/>
      <c r="K135" s="30"/>
      <c r="L135" s="16"/>
      <c r="M135" s="16"/>
      <c r="N135" s="16"/>
      <c r="O135" s="16"/>
      <c r="P135" s="16"/>
      <c r="Q135" s="16"/>
    </row>
    <row r="136" s="10" customFormat="1" spans="1:17">
      <c r="A136" s="16"/>
      <c r="B136" s="18"/>
      <c r="C136" s="18"/>
      <c r="D136" s="19"/>
      <c r="E136" s="19"/>
      <c r="F136" s="20"/>
      <c r="G136" s="16"/>
      <c r="H136" s="21"/>
      <c r="I136" s="21"/>
      <c r="J136" s="26"/>
      <c r="K136" s="30"/>
      <c r="L136" s="16"/>
      <c r="M136" s="16"/>
      <c r="N136" s="16"/>
      <c r="O136" s="16"/>
      <c r="P136" s="16"/>
      <c r="Q136" s="16"/>
    </row>
    <row r="137" s="10" customFormat="1" spans="1:17">
      <c r="A137" s="16"/>
      <c r="B137" s="18"/>
      <c r="C137" s="18"/>
      <c r="D137" s="19"/>
      <c r="E137" s="19"/>
      <c r="F137" s="20"/>
      <c r="G137" s="16"/>
      <c r="H137" s="21"/>
      <c r="I137" s="21"/>
      <c r="J137" s="26"/>
      <c r="K137" s="30"/>
      <c r="L137" s="16"/>
      <c r="M137" s="16"/>
      <c r="N137" s="16"/>
      <c r="O137" s="16"/>
      <c r="P137" s="16"/>
      <c r="Q137" s="16"/>
    </row>
    <row r="138" s="10" customFormat="1" spans="1:17">
      <c r="A138" s="16"/>
      <c r="B138" s="18"/>
      <c r="C138" s="18"/>
      <c r="D138" s="19"/>
      <c r="E138" s="19"/>
      <c r="F138" s="20"/>
      <c r="G138" s="16"/>
      <c r="H138" s="21"/>
      <c r="I138" s="21"/>
      <c r="J138" s="26"/>
      <c r="K138" s="30"/>
      <c r="L138" s="16"/>
      <c r="M138" s="16"/>
      <c r="N138" s="16"/>
      <c r="O138" s="16"/>
      <c r="P138" s="16"/>
      <c r="Q138" s="16"/>
    </row>
    <row r="139" s="10" customFormat="1" spans="1:17">
      <c r="A139" s="16"/>
      <c r="B139" s="18"/>
      <c r="C139" s="18"/>
      <c r="D139" s="19"/>
      <c r="E139" s="19"/>
      <c r="F139" s="20"/>
      <c r="G139" s="16"/>
      <c r="H139" s="21"/>
      <c r="I139" s="21"/>
      <c r="J139" s="26"/>
      <c r="K139" s="30"/>
      <c r="L139" s="16"/>
      <c r="M139" s="16"/>
      <c r="N139" s="16"/>
      <c r="O139" s="16"/>
      <c r="P139" s="16"/>
      <c r="Q139" s="16"/>
    </row>
    <row r="140" s="10" customFormat="1" spans="1:17">
      <c r="A140" s="16"/>
      <c r="B140" s="18"/>
      <c r="C140" s="18"/>
      <c r="D140" s="19"/>
      <c r="E140" s="19"/>
      <c r="F140" s="20"/>
      <c r="G140" s="16"/>
      <c r="H140" s="21"/>
      <c r="I140" s="21"/>
      <c r="J140" s="26"/>
      <c r="K140" s="30"/>
      <c r="L140" s="16"/>
      <c r="M140" s="16"/>
      <c r="N140" s="16"/>
      <c r="O140" s="16"/>
      <c r="P140" s="16"/>
      <c r="Q140" s="16"/>
    </row>
    <row r="141" s="10" customFormat="1" spans="1:17">
      <c r="A141" s="16"/>
      <c r="B141" s="18"/>
      <c r="C141" s="18"/>
      <c r="D141" s="19"/>
      <c r="E141" s="19"/>
      <c r="F141" s="20"/>
      <c r="G141" s="16"/>
      <c r="H141" s="21"/>
      <c r="I141" s="21"/>
      <c r="J141" s="26"/>
      <c r="K141" s="30"/>
      <c r="L141" s="16"/>
      <c r="M141" s="16"/>
      <c r="N141" s="16"/>
      <c r="O141" s="16"/>
      <c r="P141" s="16"/>
      <c r="Q141" s="16"/>
    </row>
    <row r="142" s="10" customFormat="1" spans="1:17">
      <c r="A142" s="16"/>
      <c r="B142" s="18"/>
      <c r="C142" s="18"/>
      <c r="D142" s="19"/>
      <c r="E142" s="19"/>
      <c r="F142" s="20"/>
      <c r="G142" s="16"/>
      <c r="H142" s="21"/>
      <c r="I142" s="21"/>
      <c r="J142" s="26"/>
      <c r="K142" s="30"/>
      <c r="L142" s="16"/>
      <c r="M142" s="16"/>
      <c r="N142" s="16"/>
      <c r="O142" s="16"/>
      <c r="P142" s="16"/>
      <c r="Q142" s="16"/>
    </row>
    <row r="143" s="10" customFormat="1" spans="1:17">
      <c r="A143" s="16"/>
      <c r="B143" s="18"/>
      <c r="C143" s="18"/>
      <c r="D143" s="19"/>
      <c r="E143" s="19"/>
      <c r="F143" s="20"/>
      <c r="G143" s="16"/>
      <c r="H143" s="21"/>
      <c r="I143" s="21"/>
      <c r="J143" s="26"/>
      <c r="K143" s="30"/>
      <c r="L143" s="16"/>
      <c r="M143" s="16"/>
      <c r="N143" s="16"/>
      <c r="O143" s="16"/>
      <c r="P143" s="16"/>
      <c r="Q143" s="16"/>
    </row>
  </sheetData>
  <autoFilter xmlns:etc="http://www.wps.cn/officeDocument/2017/etCustomData" ref="A1:Q143" etc:filterBottomFollowUsedRange="0">
    <extLst/>
  </autoFilter>
  <conditionalFormatting sqref="K40">
    <cfRule type="expression" dxfId="0" priority="1" stopIfTrue="1">
      <formula>$K$2&lt;TODAY()-30</formula>
    </cfRule>
    <cfRule type="expression" dxfId="1" priority="2" stopIfTrue="1">
      <formula>AND($K40&gt;=TODAY()-30,$K40&lt;TODAY()-20)</formula>
    </cfRule>
    <cfRule type="expression" dxfId="2" priority="3" stopIfTrue="1">
      <formula>AND($K40&gt;=TODAY()-20,$K40&lt;TODAY()-10)</formula>
    </cfRule>
    <cfRule type="expression" dxfId="3" priority="4" stopIfTrue="1">
      <formula>AND($K40&gt;=TODAY()-10,$K40&lt;=TODAY())</formula>
    </cfRule>
  </conditionalFormatting>
  <conditionalFormatting sqref="K2:K39">
    <cfRule type="expression" dxfId="0" priority="9" stopIfTrue="1">
      <formula>$K$2&lt;TODAY()-30</formula>
    </cfRule>
    <cfRule type="expression" dxfId="1" priority="597" stopIfTrue="1">
      <formula>AND($K2&gt;=TODAY()-30,$K2&lt;TODAY()-20)</formula>
    </cfRule>
    <cfRule type="expression" dxfId="2" priority="598" stopIfTrue="1">
      <formula>AND($K2&gt;=TODAY()-20,$K2&lt;TODAY()-10)</formula>
    </cfRule>
    <cfRule type="expression" dxfId="3" priority="599" stopIfTrue="1">
      <formula>AND($K2&gt;=TODAY()-10,$K2&lt;=TODAY())</formula>
    </cfRule>
  </conditionalFormatting>
  <dataValidations count="6">
    <dataValidation type="list" allowBlank="1" showInputMessage="1" showErrorMessage="1" sqref="B2:B122 B123:B126 B127:B1048576">
      <formula1>Sheet2!$A$2:$A$14</formula1>
    </dataValidation>
    <dataValidation type="list" allowBlank="1" showInputMessage="1" showErrorMessage="1" sqref="C2:C99 C101:C122 C123:C126 C127:C1048576">
      <formula1>Sheet2!$B$2:$B$12</formula1>
    </dataValidation>
    <dataValidation type="list" allowBlank="1" showInputMessage="1" showErrorMessage="1" sqref="L2:L122 L123:L126 L127:L1048576">
      <formula1>Sheet2!$C$2:$C$11</formula1>
    </dataValidation>
    <dataValidation allowBlank="1" showInputMessage="1" showErrorMessage="1" sqref="M2:M99 M101:M122 M123:M126 M127:M1048576"/>
    <dataValidation type="list" allowBlank="1" showInputMessage="1" showErrorMessage="1" sqref="P2:P122 P123:P126 P127:P1048576">
      <formula1>Sheet2!$E$2:$E$15</formula1>
    </dataValidation>
    <dataValidation type="list" allowBlank="1" showInputMessage="1" showErrorMessage="1" sqref="N2:O122 N123:O126 N127:O1048576">
      <formula1>Sheet2!$D$2:$D$11</formula1>
    </dataValidation>
  </dataValidation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>
          <controlPr defaultSize="0" r:id="rId4">
            <anchor moveWithCells="1">
              <from>
                <xdr:col>4</xdr:col>
                <xdr:colOff>6408420</xdr:colOff>
                <xdr:row>0</xdr:row>
                <xdr:rowOff>127635</xdr:rowOff>
              </from>
              <to>
                <xdr:col>4</xdr:col>
                <xdr:colOff>7170420</xdr:colOff>
                <xdr:row>0</xdr:row>
                <xdr:rowOff>508635</xdr:rowOff>
              </to>
            </anchor>
          </controlPr>
        </control>
      </mc:Choice>
      <mc:Fallback>
        <control shapeId="3073" r:id="rId3"/>
      </mc:Fallback>
    </mc:AlternateContent>
    <mc:AlternateContent xmlns:mc="http://schemas.openxmlformats.org/markup-compatibility/2006">
      <mc:Choice Requires="x14">
        <control shapeId="3074" r:id="rId5">
          <controlPr defaultSize="0" r:id="rId6">
            <anchor moveWithCells="1">
              <from>
                <xdr:col>4</xdr:col>
                <xdr:colOff>7355205</xdr:colOff>
                <xdr:row>0</xdr:row>
                <xdr:rowOff>116840</xdr:rowOff>
              </from>
              <to>
                <xdr:col>5</xdr:col>
                <xdr:colOff>0</xdr:colOff>
                <xdr:row>0</xdr:row>
                <xdr:rowOff>497840</xdr:rowOff>
              </to>
            </anchor>
          </controlPr>
        </control>
      </mc:Choice>
      <mc:Fallback>
        <control shapeId="3074" r:id="rId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34"/>
  <sheetViews>
    <sheetView workbookViewId="0">
      <pane ySplit="1" topLeftCell="A2" activePane="bottomLeft" state="frozen"/>
      <selection/>
      <selection pane="bottomLeft" activeCell="N8" sqref="N8"/>
    </sheetView>
  </sheetViews>
  <sheetFormatPr defaultColWidth="8.89423076923077" defaultRowHeight="16.8"/>
  <cols>
    <col min="1" max="1" width="16.1057692307692" style="2" customWidth="1"/>
    <col min="2" max="4" width="8.89423076923077" style="2"/>
    <col min="5" max="5" width="15.4423076923077" customWidth="1"/>
    <col min="6" max="6" width="8.89423076923077" style="2"/>
    <col min="18" max="18" width="22.4423076923077" customWidth="1"/>
    <col min="20" max="20" width="21.4423076923077" customWidth="1"/>
    <col min="21" max="21" width="20.5576923076923" customWidth="1"/>
  </cols>
  <sheetData>
    <row r="1" spans="1:6">
      <c r="A1" s="2" t="s">
        <v>20</v>
      </c>
      <c r="B1" s="2" t="s">
        <v>21</v>
      </c>
      <c r="C1" s="2" t="s">
        <v>30</v>
      </c>
      <c r="D1" s="2" t="s">
        <v>32</v>
      </c>
      <c r="E1" s="2" t="s">
        <v>246</v>
      </c>
      <c r="F1" s="2" t="s">
        <v>33</v>
      </c>
    </row>
    <row r="2" spans="1:6">
      <c r="A2" s="2" t="s">
        <v>7</v>
      </c>
      <c r="B2" s="2" t="s">
        <v>48</v>
      </c>
      <c r="C2" s="2" t="s">
        <v>0</v>
      </c>
      <c r="D2" s="2" t="s">
        <v>39</v>
      </c>
      <c r="E2" s="2" t="s">
        <v>73</v>
      </c>
    </row>
    <row r="3" spans="1:6">
      <c r="A3" s="2" t="s">
        <v>8</v>
      </c>
      <c r="C3" s="2" t="s">
        <v>1</v>
      </c>
      <c r="D3" s="2" t="s">
        <v>247</v>
      </c>
      <c r="E3" s="2"/>
    </row>
    <row r="4" spans="1:6">
      <c r="A4" s="2" t="s">
        <v>9</v>
      </c>
      <c r="C4" s="2" t="s">
        <v>2</v>
      </c>
      <c r="D4" s="2" t="s">
        <v>248</v>
      </c>
      <c r="E4" s="2"/>
    </row>
    <row r="5" spans="1:6">
      <c r="A5" s="2" t="s">
        <v>10</v>
      </c>
      <c r="C5" s="2" t="s">
        <v>3</v>
      </c>
      <c r="D5" s="2" t="s">
        <v>249</v>
      </c>
      <c r="E5" s="2"/>
    </row>
    <row r="6" spans="1:6">
      <c r="A6" s="2" t="s">
        <v>11</v>
      </c>
      <c r="C6" s="2" t="s">
        <v>4</v>
      </c>
      <c r="D6" s="2" t="s">
        <v>95</v>
      </c>
      <c r="E6" s="2"/>
    </row>
    <row r="7" spans="1:6">
      <c r="A7" s="2" t="s">
        <v>12</v>
      </c>
      <c r="C7" s="2" t="s">
        <v>5</v>
      </c>
      <c r="D7" s="2" t="s">
        <v>250</v>
      </c>
      <c r="E7" s="2"/>
    </row>
    <row r="8" spans="1:6">
      <c r="A8" s="2" t="s">
        <v>13</v>
      </c>
      <c r="D8" s="2" t="s">
        <v>88</v>
      </c>
      <c r="E8" s="2"/>
    </row>
    <row r="9" spans="1:6">
      <c r="A9" s="2" t="s">
        <v>14</v>
      </c>
      <c r="D9" s="2" t="s">
        <v>77</v>
      </c>
      <c r="E9" s="2"/>
    </row>
    <row r="10" spans="1:6">
      <c r="A10" s="2" t="s">
        <v>15</v>
      </c>
      <c r="D10" s="2" t="s">
        <v>102</v>
      </c>
      <c r="E10" s="2"/>
    </row>
    <row r="11" spans="1:6">
      <c r="A11" s="2" t="s">
        <v>16</v>
      </c>
      <c r="D11" s="2" t="s">
        <v>251</v>
      </c>
      <c r="E11" s="2"/>
    </row>
    <row r="12" spans="1:6">
      <c r="A12" s="2" t="s">
        <v>17</v>
      </c>
      <c r="E12" s="2"/>
    </row>
    <row r="23" spans="17:22">
      <c r="Q23" s="2"/>
      <c r="V23" s="2"/>
    </row>
    <row r="24" spans="17:22">
      <c r="Q24" s="2"/>
      <c r="V24" s="2"/>
    </row>
    <row r="25" spans="17:22">
      <c r="Q25" s="2"/>
      <c r="V25" s="2"/>
    </row>
    <row r="26" spans="17:22">
      <c r="Q26" s="2"/>
      <c r="V26" s="2"/>
    </row>
    <row r="27" spans="17:22">
      <c r="Q27" s="2"/>
      <c r="V27" s="2"/>
    </row>
    <row r="28" spans="17:22">
      <c r="Q28" s="2"/>
      <c r="V28" s="2"/>
    </row>
    <row r="29" spans="17:22">
      <c r="Q29" s="2"/>
      <c r="V29" s="2"/>
    </row>
    <row r="30" spans="17:22">
      <c r="Q30" s="2"/>
      <c r="V30" s="2"/>
    </row>
    <row r="31" spans="17:22">
      <c r="Q31" s="2"/>
      <c r="V31" s="2"/>
    </row>
    <row r="32" spans="17:22">
      <c r="Q32" s="2"/>
      <c r="V32" s="2"/>
    </row>
    <row r="33" spans="17:17">
      <c r="Q33" s="2"/>
    </row>
    <row r="34" spans="17:17">
      <c r="Q34" s="2"/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25"/>
  <sheetViews>
    <sheetView topLeftCell="B1" workbookViewId="0">
      <selection activeCell="N8" sqref="N8"/>
    </sheetView>
  </sheetViews>
  <sheetFormatPr defaultColWidth="8.89423076923077" defaultRowHeight="16.8"/>
  <cols>
    <col min="4" max="4" width="37.8942307692308" customWidth="1"/>
    <col min="5" max="5" width="14.5576923076923" customWidth="1"/>
    <col min="6" max="6" width="20.4423076923077" customWidth="1"/>
    <col min="9" max="9" width="13.7788461538462" customWidth="1"/>
    <col min="12" max="12" width="21.4423076923077" customWidth="1"/>
    <col min="14" max="14" width="22.1057692307692" style="2" customWidth="1"/>
    <col min="16" max="16" width="17.5576923076923" customWidth="1"/>
    <col min="17" max="17" width="8.89423076923077" style="2"/>
  </cols>
  <sheetData>
    <row r="1" s="1" customFormat="1" ht="20.4" spans="1:17">
      <c r="A1" s="3"/>
      <c r="B1" s="3"/>
      <c r="C1" s="4"/>
      <c r="D1" s="5" t="s">
        <v>252</v>
      </c>
      <c r="E1" s="3">
        <v>1001</v>
      </c>
      <c r="F1" s="6" t="s">
        <v>253</v>
      </c>
      <c r="G1" s="3"/>
      <c r="H1" s="7"/>
      <c r="I1" s="3" t="s">
        <v>254</v>
      </c>
      <c r="J1" s="3" t="s">
        <v>255</v>
      </c>
      <c r="L1" s="8">
        <v>4</v>
      </c>
      <c r="M1" s="8">
        <v>6</v>
      </c>
      <c r="N1" s="3" t="str">
        <f>L1&amp;"*"&amp;M1</f>
        <v>4*6</v>
      </c>
      <c r="Q1" s="3"/>
    </row>
    <row r="2" s="1" customFormat="1" ht="20.4" spans="1:17">
      <c r="A2" s="3"/>
      <c r="B2" s="3"/>
      <c r="C2" s="4"/>
      <c r="D2" s="3"/>
      <c r="E2" s="3">
        <v>2001</v>
      </c>
      <c r="F2" s="6"/>
      <c r="G2" s="3"/>
      <c r="H2" s="7"/>
      <c r="I2" s="3"/>
      <c r="J2" s="3" t="s">
        <v>256</v>
      </c>
      <c r="L2" s="8">
        <v>2</v>
      </c>
      <c r="M2" s="8">
        <v>7</v>
      </c>
      <c r="N2" s="3" t="str">
        <f t="shared" ref="N2:N25" si="0">L2&amp;"*"&amp;M2</f>
        <v>2*7</v>
      </c>
      <c r="Q2" s="3"/>
    </row>
    <row r="3" s="1" customFormat="1" ht="20.4" spans="1:17">
      <c r="A3" s="3"/>
      <c r="B3" s="3"/>
      <c r="C3" s="4"/>
      <c r="D3" s="3"/>
      <c r="E3" s="3">
        <v>3001</v>
      </c>
      <c r="F3" s="3"/>
      <c r="G3" s="3"/>
      <c r="H3" s="7"/>
      <c r="I3" s="3"/>
      <c r="J3" s="3" t="s">
        <v>257</v>
      </c>
      <c r="L3" s="8">
        <v>2</v>
      </c>
      <c r="M3" s="8">
        <v>4</v>
      </c>
      <c r="N3" s="3" t="str">
        <f t="shared" si="0"/>
        <v>2*4</v>
      </c>
      <c r="Q3" s="3"/>
    </row>
    <row r="4" ht="20.4" spans="1:17">
      <c r="J4" t="s">
        <v>258</v>
      </c>
      <c r="L4" s="8">
        <v>2</v>
      </c>
      <c r="M4" s="8">
        <v>4</v>
      </c>
      <c r="N4" s="3" t="str">
        <f t="shared" si="0"/>
        <v>2*4</v>
      </c>
      <c r="O4" s="2">
        <v>1</v>
      </c>
      <c r="P4" t="s">
        <v>161</v>
      </c>
      <c r="Q4" s="2">
        <f>SUMIF(N$4:N$13,P4,O$4:O$13)</f>
        <v>0</v>
      </c>
    </row>
    <row r="5" ht="20.4" spans="1:17">
      <c r="J5" t="s">
        <v>259</v>
      </c>
      <c r="L5" s="8">
        <v>5</v>
      </c>
      <c r="M5" s="8">
        <v>6</v>
      </c>
      <c r="N5" s="3" t="str">
        <f t="shared" si="0"/>
        <v>5*6</v>
      </c>
      <c r="O5" s="2">
        <v>1</v>
      </c>
      <c r="P5" t="s">
        <v>260</v>
      </c>
      <c r="Q5" s="2">
        <f t="shared" ref="Q5:Q10" si="1">SUMIF(N$4:N$13,P5,O$4:O$13)</f>
        <v>0</v>
      </c>
    </row>
    <row r="6" ht="20.4" spans="1:17">
      <c r="J6" t="s">
        <v>261</v>
      </c>
      <c r="L6" s="8">
        <v>8</v>
      </c>
      <c r="M6" s="8">
        <v>8</v>
      </c>
      <c r="N6" s="3" t="str">
        <f t="shared" si="0"/>
        <v>8*8</v>
      </c>
      <c r="O6" s="2">
        <v>1</v>
      </c>
      <c r="P6" t="s">
        <v>262</v>
      </c>
      <c r="Q6" s="2">
        <f t="shared" si="1"/>
        <v>0</v>
      </c>
    </row>
    <row r="7" ht="20.4" spans="1:17">
      <c r="J7" t="s">
        <v>263</v>
      </c>
      <c r="L7" s="8">
        <v>1</v>
      </c>
      <c r="M7" s="8">
        <v>2</v>
      </c>
      <c r="N7" s="3" t="str">
        <f t="shared" si="0"/>
        <v>1*2</v>
      </c>
      <c r="O7" s="2">
        <v>1</v>
      </c>
      <c r="P7" t="s">
        <v>264</v>
      </c>
      <c r="Q7" s="2">
        <f t="shared" si="1"/>
        <v>0</v>
      </c>
    </row>
    <row r="8" ht="20.4" spans="1:17">
      <c r="J8" t="s">
        <v>265</v>
      </c>
      <c r="L8" s="8">
        <v>1</v>
      </c>
      <c r="M8" s="8">
        <v>3</v>
      </c>
      <c r="N8" s="3" t="str">
        <f t="shared" si="0"/>
        <v>1*3</v>
      </c>
      <c r="O8" s="2">
        <v>1</v>
      </c>
      <c r="P8" t="s">
        <v>266</v>
      </c>
      <c r="Q8" s="2">
        <f t="shared" si="1"/>
        <v>0</v>
      </c>
    </row>
    <row r="9" ht="20.4" spans="1:17">
      <c r="J9" t="s">
        <v>267</v>
      </c>
      <c r="L9" s="8">
        <v>1</v>
      </c>
      <c r="M9" s="8">
        <v>3</v>
      </c>
      <c r="N9" s="3" t="str">
        <f t="shared" si="0"/>
        <v>1*3</v>
      </c>
      <c r="O9" s="2">
        <v>1</v>
      </c>
      <c r="P9" t="s">
        <v>268</v>
      </c>
      <c r="Q9" s="2">
        <f t="shared" si="1"/>
        <v>0</v>
      </c>
    </row>
    <row r="10" ht="20.4" spans="1:17">
      <c r="J10" t="s">
        <v>269</v>
      </c>
      <c r="L10" s="8">
        <v>2</v>
      </c>
      <c r="M10" s="8">
        <v>2</v>
      </c>
      <c r="N10" s="3" t="str">
        <f t="shared" si="0"/>
        <v>2*2</v>
      </c>
      <c r="O10" s="2">
        <v>1</v>
      </c>
      <c r="P10" t="s">
        <v>270</v>
      </c>
      <c r="Q10" s="2">
        <f t="shared" si="1"/>
        <v>0</v>
      </c>
    </row>
    <row r="11" ht="20.4" spans="1:17">
      <c r="J11" t="s">
        <v>271</v>
      </c>
      <c r="L11" s="8">
        <v>2</v>
      </c>
      <c r="M11" s="8">
        <v>2</v>
      </c>
      <c r="N11" s="3" t="str">
        <f t="shared" si="0"/>
        <v>2*2</v>
      </c>
      <c r="O11" s="2">
        <v>1</v>
      </c>
    </row>
    <row r="12" ht="20.4" spans="1:17">
      <c r="L12" s="8">
        <v>2</v>
      </c>
      <c r="M12" s="8">
        <v>2</v>
      </c>
      <c r="N12" s="3" t="str">
        <f t="shared" si="0"/>
        <v>2*2</v>
      </c>
      <c r="O12" s="2">
        <v>1</v>
      </c>
    </row>
    <row r="13" ht="20.4" spans="1:17">
      <c r="L13" s="8">
        <v>6</v>
      </c>
      <c r="M13" s="8">
        <v>7</v>
      </c>
      <c r="N13" s="3" t="str">
        <f t="shared" si="0"/>
        <v>6*7</v>
      </c>
      <c r="O13" s="2">
        <v>1</v>
      </c>
    </row>
    <row r="14" ht="20.4" spans="1:17">
      <c r="L14" s="8">
        <v>5</v>
      </c>
      <c r="M14" s="8">
        <v>5</v>
      </c>
      <c r="N14" s="3" t="str">
        <f t="shared" si="0"/>
        <v>5*5</v>
      </c>
    </row>
    <row r="15" ht="20.4" spans="1:17">
      <c r="L15" s="8">
        <v>1</v>
      </c>
      <c r="M15" s="8">
        <v>3</v>
      </c>
      <c r="N15" s="3" t="str">
        <f t="shared" si="0"/>
        <v>1*3</v>
      </c>
    </row>
    <row r="16" ht="20.4" spans="1:17">
      <c r="L16" s="8">
        <v>1</v>
      </c>
      <c r="M16" s="8">
        <v>3</v>
      </c>
      <c r="N16" s="3" t="str">
        <f t="shared" si="0"/>
        <v>1*3</v>
      </c>
    </row>
    <row r="17" ht="20.4" spans="12:14">
      <c r="L17" s="8">
        <v>2</v>
      </c>
      <c r="M17" s="8">
        <v>3</v>
      </c>
      <c r="N17" s="3" t="str">
        <f t="shared" si="0"/>
        <v>2*3</v>
      </c>
    </row>
    <row r="18" ht="20.4" spans="12:14">
      <c r="L18" s="8">
        <v>2</v>
      </c>
      <c r="M18" s="8">
        <v>2</v>
      </c>
      <c r="N18" s="3" t="str">
        <f t="shared" si="0"/>
        <v>2*2</v>
      </c>
    </row>
    <row r="19" ht="20.4" spans="12:14">
      <c r="L19" s="8">
        <v>2</v>
      </c>
      <c r="M19" s="8">
        <v>2</v>
      </c>
      <c r="N19" s="3" t="str">
        <f t="shared" si="0"/>
        <v>2*2</v>
      </c>
    </row>
    <row r="20" ht="20.4" spans="12:14">
      <c r="L20" s="8">
        <v>2</v>
      </c>
      <c r="M20" s="8">
        <v>2</v>
      </c>
      <c r="N20" s="3" t="str">
        <f t="shared" si="0"/>
        <v>2*2</v>
      </c>
    </row>
    <row r="21" ht="20.4" spans="12:14">
      <c r="L21" s="8">
        <v>1</v>
      </c>
      <c r="M21" s="8">
        <v>3</v>
      </c>
      <c r="N21" s="3" t="str">
        <f t="shared" si="0"/>
        <v>1*3</v>
      </c>
    </row>
    <row r="22" ht="20.4" spans="12:14">
      <c r="L22" s="8">
        <v>1</v>
      </c>
      <c r="M22" s="8">
        <v>3</v>
      </c>
      <c r="N22" s="3" t="str">
        <f t="shared" si="0"/>
        <v>1*3</v>
      </c>
    </row>
    <row r="23" ht="20.4" spans="12:14">
      <c r="L23" s="8">
        <v>2</v>
      </c>
      <c r="M23" s="8">
        <v>4</v>
      </c>
      <c r="N23" s="3" t="str">
        <f t="shared" si="0"/>
        <v>2*4</v>
      </c>
    </row>
    <row r="24" ht="20.4" spans="12:14">
      <c r="L24" s="8">
        <v>2</v>
      </c>
      <c r="M24" s="8">
        <v>4</v>
      </c>
      <c r="N24" s="3" t="str">
        <f t="shared" si="0"/>
        <v>2*4</v>
      </c>
    </row>
    <row r="25" ht="20.4" spans="12:14">
      <c r="L25" s="8">
        <v>2</v>
      </c>
      <c r="M25" s="8">
        <v>2</v>
      </c>
      <c r="N25" s="3" t="str">
        <f t="shared" si="0"/>
        <v>2*2</v>
      </c>
    </row>
  </sheetData>
  <mergeCells count="1">
    <mergeCell ref="F1:F2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良言未素</cp:lastModifiedBy>
  <dcterms:created xsi:type="dcterms:W3CDTF">2025-03-06T23:19:00Z</dcterms:created>
  <dcterms:modified xsi:type="dcterms:W3CDTF">2026-06-25T20:47:05Z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62EFCAC78E76652855D13C6A6F9AA78A_43</vt:lpwstr>
  </property>
  <property fmtid="{D5CDD505-2E9C-101B-9397-08002B2CF9AE}" pid="3" name="KSOProductBuildVer">
    <vt:lpwstr>2052-12.1.26016.26016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